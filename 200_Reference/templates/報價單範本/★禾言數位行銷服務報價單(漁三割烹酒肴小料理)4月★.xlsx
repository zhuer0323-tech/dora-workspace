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朱兒\朱兒\報價單\漁三割烹酒肴小料理\"/>
    </mc:Choice>
  </mc:AlternateContent>
  <xr:revisionPtr revIDLastSave="0" documentId="13_ncr:1_{92681DDC-24AA-436F-9A5C-11F81928C6BC}" xr6:coauthVersionLast="47" xr6:coauthVersionMax="47" xr10:uidLastSave="{00000000-0000-0000-0000-000000000000}"/>
  <bookViews>
    <workbookView xWindow="-26235" yWindow="3225" windowWidth="21600" windowHeight="11100" xr2:uid="{00000000-000D-0000-FFFF-FFFF00000000}"/>
  </bookViews>
  <sheets>
    <sheet name="李老闆" sheetId="1" r:id="rId1"/>
    <sheet name="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5" i="1" s="1"/>
  <c r="H11" i="1"/>
  <c r="H10" i="1"/>
  <c r="H12" i="1"/>
  <c r="H9" i="1"/>
  <c r="H8" i="1"/>
  <c r="G8" i="2"/>
  <c r="H8" i="2" s="1"/>
  <c r="H7" i="2"/>
  <c r="H9" i="2" s="1"/>
  <c r="H7" i="1"/>
  <c r="H10" i="2" l="1"/>
  <c r="H11" i="2" s="1"/>
</calcChain>
</file>

<file path=xl/sharedStrings.xml><?xml version="1.0" encoding="utf-8"?>
<sst xmlns="http://schemas.openxmlformats.org/spreadsheetml/2006/main" count="105" uniqueCount="68">
  <si>
    <t>禾言數位行銷服務報價單</t>
  </si>
  <si>
    <t>公司名稱：</t>
  </si>
  <si>
    <t>李老闆股份有限公司</t>
  </si>
  <si>
    <t>統一編號：</t>
  </si>
  <si>
    <t>公司電話：</t>
  </si>
  <si>
    <t>連絡人：</t>
  </si>
  <si>
    <t>發票地址：</t>
  </si>
  <si>
    <t>臺中市南屯區益豐路三段377號</t>
  </si>
  <si>
    <t>行動電話：</t>
  </si>
  <si>
    <t>付款方式：</t>
  </si>
  <si>
    <t>□現金 ■匯款</t>
  </si>
  <si>
    <t>E - m a i l：</t>
  </si>
  <si>
    <t>項目</t>
  </si>
  <si>
    <t>內容</t>
  </si>
  <si>
    <t>數量</t>
  </si>
  <si>
    <t>單價</t>
  </si>
  <si>
    <t>未稅金額（NT）</t>
  </si>
  <si>
    <t>META廣告投放</t>
  </si>
  <si>
    <t>META廣告投放內容
1. 以品牌曝光與電商導流為主，擴大觸及潛在消費者，提升官網流量與聲量。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</si>
  <si>
    <t>整合行銷服務費</t>
  </si>
  <si>
    <t>廣告投放服務費10%</t>
  </si>
  <si>
    <t>小 計：</t>
  </si>
  <si>
    <t>營業稅5%</t>
  </si>
  <si>
    <t>總金額 (含稅)</t>
  </si>
  <si>
    <t>【 備 註 】</t>
  </si>
  <si>
    <t>1. 本報價單自報價日起有效期限為10天，逾期視為無效報價。</t>
  </si>
  <si>
    <t>2. 一經簽立並蓋章回傳，即視為正式委刊合約，雙方應依誠信原則履約。</t>
  </si>
  <si>
    <t>3. 廣告執行前須完成全額付款，並由本公司開立服務總額之收據。</t>
  </si>
  <si>
    <t>4. 本報價單如有新增、刪除或修改，須以書面為之，並經雙方授權代表簽章後方為有效。</t>
  </si>
  <si>
    <t>5. 本案以實際執行起始日起計算一個月為專案走期，廣告費用須於走期±10天內執行完畢。</t>
  </si>
  <si>
    <t>6. 若因客戶未能如期提供素材致使廣告未能上線，惟版位已保留者，仍須依合約付款。</t>
  </si>
  <si>
    <t>7. 為保障專業與資料安全，本專案廣告後台管理權限歸本公司所有，恕不對外開放，亦不提供查閱、監控等權限（包括但不限於曝光量、點擊率等指標）。</t>
  </si>
  <si>
    <t>8. 廣告走期結束後，本公司將提供包含曝光量、點擊率、轉換率等關鍵指標的成效報告，供廠商參考。</t>
  </si>
  <si>
    <t>9. 客戶對於本案所接觸之公司業務、資料或往來內容，應負永久保密義務。</t>
  </si>
  <si>
    <t>10. 合約一經啟動即不得提前終止，若任一方片面中止，應賠償合約總金額兩倍作為違約金。</t>
  </si>
  <si>
    <t>報價單位</t>
  </si>
  <si>
    <t>委刊單位簽章</t>
  </si>
  <si>
    <t>公司名稱</t>
  </si>
  <si>
    <t>禾言數位行銷有限公司</t>
  </si>
  <si>
    <t xml:space="preserve">
</t>
  </si>
  <si>
    <t>電　　話</t>
  </si>
  <si>
    <t>0910-422-192</t>
  </si>
  <si>
    <t>統一編號</t>
  </si>
  <si>
    <t>地　　址</t>
  </si>
  <si>
    <t>403台中市西區公益里忠明南路237號12樓之2</t>
  </si>
  <si>
    <t>銀行轉帳</t>
  </si>
  <si>
    <t>銀行：808 玉山銀行 台中分行
戶名：禾言數位行銷有限公司
帳號：1366940043611</t>
  </si>
  <si>
    <t>報價日期：114年8月4日</t>
  </si>
  <si>
    <t>銀行：808 玉山銀行 台中分行
戶名：禾言數位行銷有限公司
帳號：1366940043611</t>
    <phoneticPr fontId="9" type="noConversion"/>
  </si>
  <si>
    <t>漁三有限公司</t>
    <phoneticPr fontId="9" type="noConversion"/>
  </si>
  <si>
    <t>台中市西屯區經貿八路57號</t>
    <phoneticPr fontId="9" type="noConversion"/>
  </si>
  <si>
    <t>Google廣告投放</t>
    <phoneticPr fontId="9" type="noConversion"/>
  </si>
  <si>
    <t>KOL網紅合作</t>
    <phoneticPr fontId="9" type="noConversion"/>
  </si>
  <si>
    <t>短影音內容製作</t>
    <phoneticPr fontId="9" type="noConversion"/>
  </si>
  <si>
    <t>META廣告投放內容
1. 以品牌曝光與導流為主，擴大觸及潛在消費者，提升流量與聲量。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  <phoneticPr fontId="9" type="noConversion"/>
  </si>
  <si>
    <t>每月「台中在地美食」網紅
1. 「在地口碑滲透」，15–30 秒短影音呈現美食開箱文
2. 依實際狀況調整網紅合作與內容策略</t>
    <phoneticPr fontId="9" type="noConversion"/>
  </si>
  <si>
    <t>1. 投放策略規劃：打造專屬廣告行銷策略，訂定執行媒體計畫，並依據客戶需求客製化調整
3. 產業受眾管理：依照廣告受眾之年齡、性別、興趣做完整分類把關
4. 專案執行成效：依據成效表現，提供廣告投放建議書，強化廣告成效
5. 監測報告書：提供專業數據分析報表，結合各媒體策略思維及產業特性並輔以科學分析工具，提供未來操作建議與優化</t>
    <phoneticPr fontId="9" type="noConversion"/>
  </si>
  <si>
    <t>營業稅5%</t>
    <phoneticPr fontId="9" type="noConversion"/>
  </si>
  <si>
    <t>Google 廣告投放費
1.運用搜尋導流廣告，有效接觸潛在用戶，提升整體搜尋與曝光量
2.品牌詞+需求詞為主要設定字詞
3.即時監控廣告成效並調整受眾以利優化成本</t>
    <phoneticPr fontId="9" type="noConversion"/>
  </si>
  <si>
    <t>數量(月)</t>
    <phoneticPr fontId="9" type="noConversion"/>
  </si>
  <si>
    <t>1. 本報價單自報價日起有效期限為10天，逾期視為無效報價。</t>
    <phoneticPr fontId="9" type="noConversion"/>
  </si>
  <si>
    <t>建立品牌形象，拍攝短影音影片
1. 內容以企劃、腳本撰寫、拍攝、剪輯等為主
2.依據品牌形象與內容為拍攝方向
3.影片成品透過工作群討論，經貴司確認後發布</t>
    <phoneticPr fontId="9" type="noConversion"/>
  </si>
  <si>
    <t>報價日期：115年4月8日</t>
    <phoneticPr fontId="9" type="noConversion"/>
  </si>
  <si>
    <t>社群小編</t>
    <phoneticPr fontId="9" type="noConversion"/>
  </si>
  <si>
    <t>協助品牌發布限時動態與社群貼文
- 負責文案發布，Facebook貼文同步發至Instagram
- 每篇貼文透過工作群討論，經貴司確認後發佈。
- 不包含社群客服回覆服務。
*貼文上線時間依實際狀況彈性調整。</t>
    <phoneticPr fontId="9" type="noConversion"/>
  </si>
  <si>
    <r>
      <t xml:space="preserve">$5000
</t>
    </r>
    <r>
      <rPr>
        <sz val="11"/>
        <color rgb="FFFF0000"/>
        <rFont val="微軟正黑體"/>
        <family val="2"/>
        <charset val="136"/>
      </rPr>
      <t>專案贈送</t>
    </r>
    <phoneticPr fontId="9" type="noConversion"/>
  </si>
  <si>
    <r>
      <rPr>
        <b/>
        <sz val="10"/>
        <color rgb="FFFF0000"/>
        <rFont val="微軟正黑體"/>
        <family val="2"/>
        <charset val="136"/>
      </rPr>
      <t>3. 本報價單以每月匯款方式進行，並開立服務總額款項之收據。</t>
    </r>
    <r>
      <rPr>
        <b/>
        <sz val="10"/>
        <color theme="1"/>
        <rFont val="微軟正黑體"/>
        <family val="2"/>
        <charset val="136"/>
      </rPr>
      <t xml:space="preserve">
115年4月10號前預付訂金5萬，5月初提供剩餘5萬請款單，5月底前支付完成；從115年6月1日開始，每個月月初提供10萬請款單，當月底前支付完成，以此類推至116年4月為最後一走期。</t>
    </r>
    <phoneticPr fontId="9" type="noConversion"/>
  </si>
  <si>
    <t>2. 一經簽立並蓋章回傳，即視為正式委刊合約，合約以一年（12個月）為期，每月10萬，雙方應依誠信原則履約。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</si>
</sst>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"/>
  </numFmts>
  <fonts count="23" x14ac:knownFonts="1">
    <font>
      <sz val="10"/>
      <color rgb="FF000000"/>
      <name val="Arial"/>
      <scheme val="minor"/>
    </font>
    <font>
      <b/>
      <sz val="18"/>
      <color rgb="FFF3F3F3"/>
      <name val="Noto Sans TC"/>
      <family val="2"/>
      <charset val="136"/>
    </font>
    <font>
      <sz val="10"/>
      <name val="Arial"/>
      <family val="2"/>
    </font>
    <font>
      <sz val="12"/>
      <color theme="1"/>
      <name val="Noto Sans TC"/>
      <family val="2"/>
      <charset val="136"/>
    </font>
    <font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sz val="9"/>
      <name val="Arial"/>
      <family val="3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8"/>
      <color rgb="FFF3F3F3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trike/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176" fontId="12" fillId="0" borderId="22" xfId="0" applyNumberFormat="1" applyFont="1" applyBorder="1" applyAlignment="1">
      <alignment horizontal="center" vertical="center"/>
    </xf>
    <xf numFmtId="176" fontId="15" fillId="0" borderId="27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/>
    </xf>
    <xf numFmtId="176" fontId="18" fillId="0" borderId="22" xfId="0" applyNumberFormat="1" applyFont="1" applyBorder="1" applyAlignment="1">
      <alignment horizontal="center" vertical="center" wrapText="1"/>
    </xf>
    <xf numFmtId="0" fontId="21" fillId="0" borderId="34" xfId="0" applyFont="1" applyBorder="1" applyAlignment="1">
      <alignment vertical="center"/>
    </xf>
    <xf numFmtId="0" fontId="21" fillId="0" borderId="35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22" fillId="0" borderId="0" xfId="0" applyFont="1"/>
    <xf numFmtId="0" fontId="10" fillId="0" borderId="5" xfId="0" applyFont="1" applyBorder="1" applyAlignment="1">
      <alignment vertical="center"/>
    </xf>
    <xf numFmtId="0" fontId="14" fillId="0" borderId="6" xfId="0" applyFont="1" applyBorder="1"/>
    <xf numFmtId="0" fontId="14" fillId="0" borderId="9" xfId="0" applyFont="1" applyBorder="1"/>
    <xf numFmtId="0" fontId="10" fillId="0" borderId="11" xfId="0" applyFont="1" applyBorder="1" applyAlignment="1">
      <alignment vertical="center"/>
    </xf>
    <xf numFmtId="0" fontId="14" fillId="0" borderId="12" xfId="0" applyFont="1" applyBorder="1"/>
    <xf numFmtId="0" fontId="14" fillId="0" borderId="15" xfId="0" applyFont="1" applyBorder="1"/>
    <xf numFmtId="0" fontId="13" fillId="2" borderId="1" xfId="0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7" xfId="0" applyFont="1" applyBorder="1"/>
    <xf numFmtId="0" fontId="10" fillId="0" borderId="5" xfId="0" applyFont="1" applyBorder="1" applyAlignment="1">
      <alignment horizontal="left" vertical="center"/>
    </xf>
    <xf numFmtId="0" fontId="14" fillId="0" borderId="13" xfId="0" applyFont="1" applyBorder="1"/>
    <xf numFmtId="0" fontId="12" fillId="4" borderId="17" xfId="0" applyFont="1" applyFill="1" applyBorder="1" applyAlignment="1">
      <alignment horizontal="center" vertical="center"/>
    </xf>
    <xf numFmtId="0" fontId="14" fillId="0" borderId="18" xfId="0" applyFont="1" applyBorder="1"/>
    <xf numFmtId="0" fontId="14" fillId="0" borderId="19" xfId="0" applyFont="1" applyBorder="1"/>
    <xf numFmtId="0" fontId="11" fillId="0" borderId="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4" fillId="0" borderId="25" xfId="0" applyFont="1" applyBorder="1"/>
    <xf numFmtId="0" fontId="14" fillId="0" borderId="26" xfId="0" applyFont="1" applyBorder="1"/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right" vertical="center"/>
    </xf>
    <xf numFmtId="0" fontId="14" fillId="0" borderId="29" xfId="0" applyFont="1" applyBorder="1"/>
    <xf numFmtId="0" fontId="14" fillId="0" borderId="50" xfId="0" applyFont="1" applyBorder="1"/>
    <xf numFmtId="0" fontId="11" fillId="0" borderId="28" xfId="0" applyFont="1" applyBorder="1" applyAlignment="1">
      <alignment vertical="center"/>
    </xf>
    <xf numFmtId="0" fontId="14" fillId="0" borderId="30" xfId="0" applyFont="1" applyBorder="1"/>
    <xf numFmtId="0" fontId="11" fillId="0" borderId="31" xfId="0" applyFont="1" applyBorder="1" applyAlignment="1">
      <alignment vertical="center"/>
    </xf>
    <xf numFmtId="0" fontId="14" fillId="0" borderId="32" xfId="0" applyFont="1" applyBorder="1"/>
    <xf numFmtId="0" fontId="14" fillId="0" borderId="33" xfId="0" applyFont="1" applyBorder="1"/>
    <xf numFmtId="0" fontId="12" fillId="0" borderId="5" xfId="0" applyFont="1" applyBorder="1" applyAlignment="1">
      <alignment horizontal="left" vertical="center" wrapText="1"/>
    </xf>
    <xf numFmtId="0" fontId="12" fillId="0" borderId="45" xfId="0" applyFont="1" applyBorder="1" applyAlignment="1">
      <alignment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4" fillId="0" borderId="41" xfId="0" applyFont="1" applyBorder="1"/>
    <xf numFmtId="0" fontId="12" fillId="0" borderId="11" xfId="0" applyFont="1" applyBorder="1" applyAlignment="1">
      <alignment vertical="center" wrapText="1"/>
    </xf>
    <xf numFmtId="0" fontId="14" fillId="0" borderId="42" xfId="0" applyFont="1" applyBorder="1"/>
    <xf numFmtId="0" fontId="17" fillId="0" borderId="0" xfId="0" applyFont="1"/>
    <xf numFmtId="0" fontId="14" fillId="0" borderId="43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8" xfId="0" applyFont="1" applyBorder="1"/>
    <xf numFmtId="0" fontId="21" fillId="0" borderId="31" xfId="0" applyFont="1" applyBorder="1" applyAlignment="1">
      <alignment vertical="center" wrapText="1"/>
    </xf>
    <xf numFmtId="0" fontId="21" fillId="0" borderId="32" xfId="0" applyFont="1" applyBorder="1" applyAlignment="1">
      <alignment vertical="center" wrapText="1"/>
    </xf>
    <xf numFmtId="0" fontId="21" fillId="0" borderId="33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2" fillId="0" borderId="6" xfId="0" applyFont="1" applyBorder="1"/>
    <xf numFmtId="0" fontId="2" fillId="0" borderId="9" xfId="0" applyFont="1" applyBorder="1"/>
    <xf numFmtId="0" fontId="3" fillId="0" borderId="11" xfId="0" applyFont="1" applyBorder="1" applyAlignment="1">
      <alignment vertical="center"/>
    </xf>
    <xf numFmtId="0" fontId="2" fillId="0" borderId="12" xfId="0" applyFont="1" applyBorder="1"/>
    <xf numFmtId="0" fontId="2" fillId="0" borderId="1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3" fillId="0" borderId="5" xfId="0" applyFont="1" applyBorder="1" applyAlignment="1">
      <alignment horizontal="left" vertical="center"/>
    </xf>
    <xf numFmtId="0" fontId="2" fillId="0" borderId="13" xfId="0" applyFont="1" applyBorder="1"/>
    <xf numFmtId="0" fontId="4" fillId="4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5" fillId="0" borderId="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4" fillId="0" borderId="5" xfId="0" applyFont="1" applyBorder="1" applyAlignment="1">
      <alignment horizontal="left" vertical="center"/>
    </xf>
    <xf numFmtId="0" fontId="8" fillId="0" borderId="49" xfId="0" applyFont="1" applyBorder="1" applyAlignment="1">
      <alignment horizontal="right" vertical="center"/>
    </xf>
    <xf numFmtId="0" fontId="2" fillId="0" borderId="29" xfId="0" applyFont="1" applyBorder="1"/>
    <xf numFmtId="0" fontId="2" fillId="0" borderId="50" xfId="0" applyFont="1" applyBorder="1"/>
    <xf numFmtId="0" fontId="5" fillId="0" borderId="28" xfId="0" applyFont="1" applyBorder="1" applyAlignment="1">
      <alignment vertical="center"/>
    </xf>
    <xf numFmtId="0" fontId="2" fillId="0" borderId="30" xfId="0" applyFont="1" applyBorder="1"/>
    <xf numFmtId="0" fontId="5" fillId="0" borderId="31" xfId="0" applyFont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4" fillId="0" borderId="5" xfId="0" applyFont="1" applyBorder="1" applyAlignment="1">
      <alignment horizontal="left" vertical="center" wrapText="1"/>
    </xf>
    <xf numFmtId="0" fontId="4" fillId="0" borderId="45" xfId="0" applyFont="1" applyBorder="1" applyAlignment="1">
      <alignment vertical="center"/>
    </xf>
    <xf numFmtId="0" fontId="7" fillId="4" borderId="40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0" borderId="11" xfId="0" applyFont="1" applyBorder="1" applyAlignment="1">
      <alignment vertical="center" wrapText="1"/>
    </xf>
    <xf numFmtId="0" fontId="2" fillId="0" borderId="42" xfId="0" applyFont="1" applyBorder="1"/>
    <xf numFmtId="0" fontId="0" fillId="0" borderId="0" xfId="0"/>
    <xf numFmtId="0" fontId="2" fillId="0" borderId="43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3"/>
  <sheetViews>
    <sheetView tabSelected="1" topLeftCell="A14" workbookViewId="0">
      <selection activeCell="J19" sqref="J19"/>
    </sheetView>
  </sheetViews>
  <sheetFormatPr defaultColWidth="12.5703125" defaultRowHeight="15.75" customHeight="1" x14ac:dyDescent="0.2"/>
  <cols>
    <col min="1" max="1" width="17" customWidth="1"/>
    <col min="3" max="3" width="12.85546875" customWidth="1"/>
    <col min="4" max="4" width="18" customWidth="1"/>
    <col min="5" max="5" width="22.5703125" customWidth="1"/>
    <col min="6" max="7" width="14.42578125" customWidth="1"/>
    <col min="8" max="8" width="16.5703125" customWidth="1"/>
  </cols>
  <sheetData>
    <row r="1" spans="1:8" ht="40.5" customHeight="1" x14ac:dyDescent="0.25">
      <c r="A1" s="52" t="s">
        <v>0</v>
      </c>
      <c r="B1" s="53"/>
      <c r="C1" s="53"/>
      <c r="D1" s="53"/>
      <c r="E1" s="53"/>
      <c r="F1" s="53"/>
      <c r="G1" s="53"/>
      <c r="H1" s="54"/>
    </row>
    <row r="2" spans="1:8" ht="27" customHeight="1" x14ac:dyDescent="0.25">
      <c r="A2" s="21" t="s">
        <v>1</v>
      </c>
      <c r="B2" s="46" t="s">
        <v>49</v>
      </c>
      <c r="C2" s="47"/>
      <c r="D2" s="55"/>
      <c r="E2" s="22" t="s">
        <v>3</v>
      </c>
      <c r="F2" s="56">
        <v>60764770</v>
      </c>
      <c r="G2" s="47"/>
      <c r="H2" s="48"/>
    </row>
    <row r="3" spans="1:8" ht="27" customHeight="1" x14ac:dyDescent="0.25">
      <c r="A3" s="21" t="s">
        <v>4</v>
      </c>
      <c r="B3" s="46"/>
      <c r="C3" s="47"/>
      <c r="D3" s="55"/>
      <c r="E3" s="22" t="s">
        <v>5</v>
      </c>
      <c r="F3" s="46"/>
      <c r="G3" s="47"/>
      <c r="H3" s="48"/>
    </row>
    <row r="4" spans="1:8" ht="27" customHeight="1" x14ac:dyDescent="0.25">
      <c r="A4" s="21" t="s">
        <v>6</v>
      </c>
      <c r="B4" s="46" t="s">
        <v>50</v>
      </c>
      <c r="C4" s="47"/>
      <c r="D4" s="55"/>
      <c r="E4" s="22" t="s">
        <v>8</v>
      </c>
      <c r="F4" s="46"/>
      <c r="G4" s="47"/>
      <c r="H4" s="48"/>
    </row>
    <row r="5" spans="1:8" ht="27" customHeight="1" x14ac:dyDescent="0.25">
      <c r="A5" s="23" t="s">
        <v>9</v>
      </c>
      <c r="B5" s="49" t="s">
        <v>10</v>
      </c>
      <c r="C5" s="50"/>
      <c r="D5" s="57"/>
      <c r="E5" s="24" t="s">
        <v>11</v>
      </c>
      <c r="F5" s="49"/>
      <c r="G5" s="50"/>
      <c r="H5" s="51"/>
    </row>
    <row r="6" spans="1:8" ht="27" customHeight="1" x14ac:dyDescent="0.25">
      <c r="A6" s="25" t="s">
        <v>12</v>
      </c>
      <c r="B6" s="58" t="s">
        <v>13</v>
      </c>
      <c r="C6" s="59"/>
      <c r="D6" s="59"/>
      <c r="E6" s="60"/>
      <c r="F6" s="26" t="s">
        <v>59</v>
      </c>
      <c r="G6" s="26" t="s">
        <v>15</v>
      </c>
      <c r="H6" s="27" t="s">
        <v>16</v>
      </c>
    </row>
    <row r="7" spans="1:8" ht="77.25" customHeight="1" x14ac:dyDescent="0.25">
      <c r="A7" s="28" t="s">
        <v>17</v>
      </c>
      <c r="B7" s="61" t="s">
        <v>54</v>
      </c>
      <c r="C7" s="47"/>
      <c r="D7" s="47"/>
      <c r="E7" s="55"/>
      <c r="F7" s="29">
        <v>1</v>
      </c>
      <c r="G7" s="30">
        <v>25000</v>
      </c>
      <c r="H7" s="31">
        <f t="shared" ref="H7:H12" si="0">F7*G7</f>
        <v>25000</v>
      </c>
    </row>
    <row r="8" spans="1:8" ht="67.5" customHeight="1" x14ac:dyDescent="0.2">
      <c r="A8" s="28" t="s">
        <v>51</v>
      </c>
      <c r="B8" s="61" t="s">
        <v>58</v>
      </c>
      <c r="C8" s="66"/>
      <c r="D8" s="66"/>
      <c r="E8" s="67"/>
      <c r="F8" s="29">
        <v>1</v>
      </c>
      <c r="G8" s="30">
        <v>25000</v>
      </c>
      <c r="H8" s="31">
        <f>G8/F8</f>
        <v>25000</v>
      </c>
    </row>
    <row r="9" spans="1:8" ht="56.25" customHeight="1" x14ac:dyDescent="0.2">
      <c r="A9" s="28" t="s">
        <v>52</v>
      </c>
      <c r="B9" s="61" t="s">
        <v>55</v>
      </c>
      <c r="C9" s="66"/>
      <c r="D9" s="66"/>
      <c r="E9" s="67"/>
      <c r="F9" s="29">
        <v>1</v>
      </c>
      <c r="G9" s="30">
        <v>10000</v>
      </c>
      <c r="H9" s="31">
        <f>G9*F9</f>
        <v>10000</v>
      </c>
    </row>
    <row r="10" spans="1:8" ht="64.5" customHeight="1" x14ac:dyDescent="0.2">
      <c r="A10" s="28" t="s">
        <v>53</v>
      </c>
      <c r="B10" s="61" t="s">
        <v>61</v>
      </c>
      <c r="C10" s="66"/>
      <c r="D10" s="66"/>
      <c r="E10" s="67"/>
      <c r="F10" s="29">
        <v>1</v>
      </c>
      <c r="G10" s="30">
        <v>20000</v>
      </c>
      <c r="H10" s="31">
        <f>G10*F10</f>
        <v>20000</v>
      </c>
    </row>
    <row r="11" spans="1:8" ht="81" customHeight="1" x14ac:dyDescent="0.2">
      <c r="A11" s="28" t="s">
        <v>63</v>
      </c>
      <c r="B11" s="61" t="s">
        <v>64</v>
      </c>
      <c r="C11" s="66"/>
      <c r="D11" s="66"/>
      <c r="E11" s="67"/>
      <c r="F11" s="29">
        <v>1</v>
      </c>
      <c r="G11" s="30">
        <v>10000</v>
      </c>
      <c r="H11" s="31">
        <f>G11*F11</f>
        <v>10000</v>
      </c>
    </row>
    <row r="12" spans="1:8" ht="90.75" customHeight="1" x14ac:dyDescent="0.25">
      <c r="A12" s="28" t="s">
        <v>19</v>
      </c>
      <c r="B12" s="61" t="s">
        <v>56</v>
      </c>
      <c r="C12" s="47"/>
      <c r="D12" s="47"/>
      <c r="E12" s="55"/>
      <c r="F12" s="29">
        <v>1</v>
      </c>
      <c r="G12" s="30">
        <v>10000</v>
      </c>
      <c r="H12" s="31">
        <f t="shared" si="0"/>
        <v>10000</v>
      </c>
    </row>
    <row r="13" spans="1:8" ht="31.5" customHeight="1" x14ac:dyDescent="0.25">
      <c r="A13" s="62" t="s">
        <v>21</v>
      </c>
      <c r="B13" s="47"/>
      <c r="C13" s="47"/>
      <c r="D13" s="47"/>
      <c r="E13" s="47"/>
      <c r="F13" s="47"/>
      <c r="G13" s="55"/>
      <c r="H13" s="31">
        <f>H7+H12+H8+H9+H11+H10</f>
        <v>100000</v>
      </c>
    </row>
    <row r="14" spans="1:8" ht="31.5" customHeight="1" x14ac:dyDescent="0.25">
      <c r="A14" s="62" t="s">
        <v>57</v>
      </c>
      <c r="B14" s="47"/>
      <c r="C14" s="47"/>
      <c r="D14" s="47"/>
      <c r="E14" s="47"/>
      <c r="F14" s="47"/>
      <c r="G14" s="55"/>
      <c r="H14" s="41" t="s">
        <v>65</v>
      </c>
    </row>
    <row r="15" spans="1:8" ht="31.5" customHeight="1" x14ac:dyDescent="0.25">
      <c r="A15" s="63" t="s">
        <v>23</v>
      </c>
      <c r="B15" s="64"/>
      <c r="C15" s="64"/>
      <c r="D15" s="64"/>
      <c r="E15" s="64"/>
      <c r="F15" s="64"/>
      <c r="G15" s="65"/>
      <c r="H15" s="32">
        <f>H13</f>
        <v>100000</v>
      </c>
    </row>
    <row r="16" spans="1:8" ht="17.25" customHeight="1" x14ac:dyDescent="0.25">
      <c r="A16" s="71" t="s">
        <v>24</v>
      </c>
      <c r="B16" s="69"/>
      <c r="C16" s="69"/>
      <c r="D16" s="69"/>
      <c r="E16" s="69"/>
      <c r="F16" s="69"/>
      <c r="G16" s="69"/>
      <c r="H16" s="72"/>
    </row>
    <row r="17" spans="1:8" ht="21" customHeight="1" x14ac:dyDescent="0.25">
      <c r="A17" s="73" t="s">
        <v>60</v>
      </c>
      <c r="B17" s="74"/>
      <c r="C17" s="74"/>
      <c r="D17" s="74"/>
      <c r="E17" s="74"/>
      <c r="F17" s="74"/>
      <c r="G17" s="74"/>
      <c r="H17" s="75"/>
    </row>
    <row r="18" spans="1:8" s="45" customFormat="1" ht="21" customHeight="1" x14ac:dyDescent="0.2">
      <c r="A18" s="42" t="s">
        <v>67</v>
      </c>
      <c r="B18" s="43"/>
      <c r="C18" s="43"/>
      <c r="D18" s="43"/>
      <c r="E18" s="43"/>
      <c r="F18" s="43"/>
      <c r="G18" s="43"/>
      <c r="H18" s="44"/>
    </row>
    <row r="19" spans="1:8" s="45" customFormat="1" ht="48.75" customHeight="1" x14ac:dyDescent="0.2">
      <c r="A19" s="88" t="s">
        <v>66</v>
      </c>
      <c r="B19" s="89"/>
      <c r="C19" s="89"/>
      <c r="D19" s="89"/>
      <c r="E19" s="89"/>
      <c r="F19" s="89"/>
      <c r="G19" s="89"/>
      <c r="H19" s="90"/>
    </row>
    <row r="20" spans="1:8" ht="21" customHeight="1" x14ac:dyDescent="0.2">
      <c r="A20" s="33" t="s">
        <v>28</v>
      </c>
      <c r="B20" s="34"/>
      <c r="C20" s="34"/>
      <c r="D20" s="34"/>
      <c r="E20" s="34"/>
      <c r="F20" s="34"/>
      <c r="G20" s="34"/>
      <c r="H20" s="35"/>
    </row>
    <row r="21" spans="1:8" ht="21" customHeight="1" x14ac:dyDescent="0.2">
      <c r="A21" s="33" t="s">
        <v>29</v>
      </c>
      <c r="B21" s="34"/>
      <c r="C21" s="34"/>
      <c r="D21" s="34"/>
      <c r="E21" s="34"/>
      <c r="F21" s="34"/>
      <c r="G21" s="34"/>
      <c r="H21" s="35"/>
    </row>
    <row r="22" spans="1:8" ht="21" customHeight="1" x14ac:dyDescent="0.2">
      <c r="A22" s="33" t="s">
        <v>30</v>
      </c>
      <c r="B22" s="34"/>
      <c r="C22" s="34"/>
      <c r="D22" s="34"/>
      <c r="E22" s="34"/>
      <c r="F22" s="34"/>
      <c r="G22" s="34"/>
      <c r="H22" s="35"/>
    </row>
    <row r="23" spans="1:8" ht="21" customHeight="1" x14ac:dyDescent="0.2">
      <c r="A23" s="33" t="s">
        <v>31</v>
      </c>
      <c r="B23" s="34"/>
      <c r="C23" s="34"/>
      <c r="D23" s="34"/>
      <c r="E23" s="34"/>
      <c r="F23" s="34"/>
      <c r="G23" s="34"/>
      <c r="H23" s="35"/>
    </row>
    <row r="24" spans="1:8" ht="21" customHeight="1" x14ac:dyDescent="0.2">
      <c r="A24" s="33" t="s">
        <v>32</v>
      </c>
      <c r="B24" s="34"/>
      <c r="C24" s="34"/>
      <c r="D24" s="34"/>
      <c r="E24" s="34"/>
      <c r="F24" s="34"/>
      <c r="G24" s="34"/>
      <c r="H24" s="35"/>
    </row>
    <row r="25" spans="1:8" ht="21" customHeight="1" x14ac:dyDescent="0.2">
      <c r="A25" s="33" t="s">
        <v>33</v>
      </c>
      <c r="B25" s="34"/>
      <c r="C25" s="34"/>
      <c r="D25" s="34"/>
      <c r="E25" s="34"/>
      <c r="F25" s="34"/>
      <c r="G25" s="34"/>
      <c r="H25" s="35"/>
    </row>
    <row r="26" spans="1:8" ht="25.5" customHeight="1" x14ac:dyDescent="0.2">
      <c r="A26" s="36" t="s">
        <v>34</v>
      </c>
      <c r="B26" s="37"/>
      <c r="C26" s="37"/>
      <c r="D26" s="37"/>
      <c r="E26" s="37"/>
      <c r="F26" s="37"/>
      <c r="G26" s="37"/>
      <c r="H26" s="38"/>
    </row>
    <row r="27" spans="1:8" ht="32.25" customHeight="1" x14ac:dyDescent="0.25">
      <c r="A27" s="78" t="s">
        <v>35</v>
      </c>
      <c r="B27" s="59"/>
      <c r="C27" s="59"/>
      <c r="D27" s="60"/>
      <c r="E27" s="79" t="s">
        <v>36</v>
      </c>
      <c r="F27" s="59"/>
      <c r="G27" s="59"/>
      <c r="H27" s="80"/>
    </row>
    <row r="28" spans="1:8" ht="24" customHeight="1" x14ac:dyDescent="0.25">
      <c r="A28" s="39" t="s">
        <v>37</v>
      </c>
      <c r="B28" s="76" t="s">
        <v>38</v>
      </c>
      <c r="C28" s="47"/>
      <c r="D28" s="55"/>
      <c r="E28" s="81" t="s">
        <v>39</v>
      </c>
      <c r="F28" s="50"/>
      <c r="G28" s="50"/>
      <c r="H28" s="51"/>
    </row>
    <row r="29" spans="1:8" ht="24" customHeight="1" x14ac:dyDescent="0.25">
      <c r="A29" s="39" t="s">
        <v>40</v>
      </c>
      <c r="B29" s="76" t="s">
        <v>41</v>
      </c>
      <c r="C29" s="47"/>
      <c r="D29" s="55"/>
      <c r="E29" s="82"/>
      <c r="F29" s="83"/>
      <c r="G29" s="83"/>
      <c r="H29" s="84"/>
    </row>
    <row r="30" spans="1:8" ht="24" customHeight="1" x14ac:dyDescent="0.25">
      <c r="A30" s="39" t="s">
        <v>42</v>
      </c>
      <c r="B30" s="76">
        <v>60634849</v>
      </c>
      <c r="C30" s="47"/>
      <c r="D30" s="55"/>
      <c r="E30" s="82"/>
      <c r="F30" s="83"/>
      <c r="G30" s="83"/>
      <c r="H30" s="84"/>
    </row>
    <row r="31" spans="1:8" ht="24" customHeight="1" x14ac:dyDescent="0.25">
      <c r="A31" s="39" t="s">
        <v>43</v>
      </c>
      <c r="B31" s="76" t="s">
        <v>44</v>
      </c>
      <c r="C31" s="47"/>
      <c r="D31" s="55"/>
      <c r="E31" s="82"/>
      <c r="F31" s="83"/>
      <c r="G31" s="83"/>
      <c r="H31" s="84"/>
    </row>
    <row r="32" spans="1:8" ht="50.25" customHeight="1" x14ac:dyDescent="0.25">
      <c r="A32" s="40" t="s">
        <v>45</v>
      </c>
      <c r="B32" s="77" t="s">
        <v>48</v>
      </c>
      <c r="C32" s="64"/>
      <c r="D32" s="65"/>
      <c r="E32" s="85"/>
      <c r="F32" s="86"/>
      <c r="G32" s="86"/>
      <c r="H32" s="87"/>
    </row>
    <row r="33" spans="1:8" ht="24" customHeight="1" x14ac:dyDescent="0.25">
      <c r="A33" s="68" t="s">
        <v>62</v>
      </c>
      <c r="B33" s="69"/>
      <c r="C33" s="69"/>
      <c r="D33" s="69"/>
      <c r="E33" s="69"/>
      <c r="F33" s="69"/>
      <c r="G33" s="69"/>
      <c r="H33" s="70"/>
    </row>
  </sheetData>
  <mergeCells count="31">
    <mergeCell ref="A33:H33"/>
    <mergeCell ref="A16:H16"/>
    <mergeCell ref="A17:H17"/>
    <mergeCell ref="B31:D31"/>
    <mergeCell ref="B32:D32"/>
    <mergeCell ref="A27:D27"/>
    <mergeCell ref="E27:H27"/>
    <mergeCell ref="B28:D28"/>
    <mergeCell ref="E28:H32"/>
    <mergeCell ref="B29:D29"/>
    <mergeCell ref="B30:D30"/>
    <mergeCell ref="A19:H19"/>
    <mergeCell ref="B6:E6"/>
    <mergeCell ref="B7:E7"/>
    <mergeCell ref="A13:G13"/>
    <mergeCell ref="A14:G14"/>
    <mergeCell ref="A15:G15"/>
    <mergeCell ref="B12:E12"/>
    <mergeCell ref="B8:E8"/>
    <mergeCell ref="B9:E9"/>
    <mergeCell ref="B11:E11"/>
    <mergeCell ref="B10:E10"/>
    <mergeCell ref="F4:H4"/>
    <mergeCell ref="F5:H5"/>
    <mergeCell ref="A1:H1"/>
    <mergeCell ref="B2:D2"/>
    <mergeCell ref="F2:H2"/>
    <mergeCell ref="B3:D3"/>
    <mergeCell ref="F3:H3"/>
    <mergeCell ref="B4:D4"/>
    <mergeCell ref="B5:D5"/>
  </mergeCells>
  <phoneticPr fontId="9" type="noConversion"/>
  <printOptions horizontalCentered="1" gridLines="1"/>
  <pageMargins left="0.7" right="0.7" top="0.75" bottom="0.75" header="0" footer="0"/>
  <pageSetup paperSize="9" scale="69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  <pageSetUpPr fitToPage="1"/>
  </sheetPr>
  <dimension ref="A1:H29"/>
  <sheetViews>
    <sheetView workbookViewId="0"/>
  </sheetViews>
  <sheetFormatPr defaultColWidth="12.5703125" defaultRowHeight="15.75" customHeight="1" x14ac:dyDescent="0.2"/>
  <cols>
    <col min="1" max="1" width="16.28515625" customWidth="1"/>
    <col min="4" max="4" width="14.28515625" customWidth="1"/>
    <col min="5" max="5" width="19.42578125" customWidth="1"/>
    <col min="6" max="7" width="14.42578125" customWidth="1"/>
    <col min="8" max="8" width="14" customWidth="1"/>
  </cols>
  <sheetData>
    <row r="1" spans="1:8" ht="40.5" customHeight="1" x14ac:dyDescent="0.2">
      <c r="A1" s="97" t="s">
        <v>0</v>
      </c>
      <c r="B1" s="98"/>
      <c r="C1" s="98"/>
      <c r="D1" s="98"/>
      <c r="E1" s="98"/>
      <c r="F1" s="98"/>
      <c r="G1" s="98"/>
      <c r="H1" s="99"/>
    </row>
    <row r="2" spans="1:8" ht="31.5" customHeight="1" x14ac:dyDescent="0.2">
      <c r="A2" s="1" t="s">
        <v>1</v>
      </c>
      <c r="B2" s="91" t="s">
        <v>2</v>
      </c>
      <c r="C2" s="92"/>
      <c r="D2" s="100"/>
      <c r="E2" s="2" t="s">
        <v>3</v>
      </c>
      <c r="F2" s="101">
        <v>61842270</v>
      </c>
      <c r="G2" s="92"/>
      <c r="H2" s="93"/>
    </row>
    <row r="3" spans="1:8" ht="31.5" customHeight="1" x14ac:dyDescent="0.2">
      <c r="A3" s="1" t="s">
        <v>4</v>
      </c>
      <c r="B3" s="91"/>
      <c r="C3" s="92"/>
      <c r="D3" s="100"/>
      <c r="E3" s="2" t="s">
        <v>5</v>
      </c>
      <c r="F3" s="91"/>
      <c r="G3" s="92"/>
      <c r="H3" s="93"/>
    </row>
    <row r="4" spans="1:8" ht="31.5" customHeight="1" x14ac:dyDescent="0.2">
      <c r="A4" s="1" t="s">
        <v>6</v>
      </c>
      <c r="B4" s="91" t="s">
        <v>7</v>
      </c>
      <c r="C4" s="92"/>
      <c r="D4" s="100"/>
      <c r="E4" s="2" t="s">
        <v>8</v>
      </c>
      <c r="F4" s="91"/>
      <c r="G4" s="92"/>
      <c r="H4" s="93"/>
    </row>
    <row r="5" spans="1:8" ht="31.5" customHeight="1" x14ac:dyDescent="0.2">
      <c r="A5" s="3" t="s">
        <v>9</v>
      </c>
      <c r="B5" s="94" t="s">
        <v>10</v>
      </c>
      <c r="C5" s="95"/>
      <c r="D5" s="102"/>
      <c r="E5" s="4" t="s">
        <v>11</v>
      </c>
      <c r="F5" s="94"/>
      <c r="G5" s="95"/>
      <c r="H5" s="96"/>
    </row>
    <row r="6" spans="1:8" ht="31.5" customHeight="1" x14ac:dyDescent="0.2">
      <c r="A6" s="5" t="s">
        <v>12</v>
      </c>
      <c r="B6" s="103" t="s">
        <v>13</v>
      </c>
      <c r="C6" s="104"/>
      <c r="D6" s="104"/>
      <c r="E6" s="105"/>
      <c r="F6" s="6" t="s">
        <v>14</v>
      </c>
      <c r="G6" s="6" t="s">
        <v>15</v>
      </c>
      <c r="H6" s="7" t="s">
        <v>16</v>
      </c>
    </row>
    <row r="7" spans="1:8" ht="102.75" customHeight="1" x14ac:dyDescent="0.2">
      <c r="A7" s="8" t="s">
        <v>17</v>
      </c>
      <c r="B7" s="106" t="s">
        <v>18</v>
      </c>
      <c r="C7" s="92"/>
      <c r="D7" s="92"/>
      <c r="E7" s="100"/>
      <c r="F7" s="9">
        <v>1</v>
      </c>
      <c r="G7" s="10">
        <v>100000</v>
      </c>
      <c r="H7" s="11">
        <f t="shared" ref="H7:H8" si="0">F7*G7</f>
        <v>100000</v>
      </c>
    </row>
    <row r="8" spans="1:8" ht="31.5" customHeight="1" x14ac:dyDescent="0.2">
      <c r="A8" s="8" t="s">
        <v>19</v>
      </c>
      <c r="B8" s="111" t="s">
        <v>20</v>
      </c>
      <c r="C8" s="92"/>
      <c r="D8" s="92"/>
      <c r="E8" s="100"/>
      <c r="F8" s="9">
        <v>1</v>
      </c>
      <c r="G8" s="10">
        <f>G7*0.1</f>
        <v>10000</v>
      </c>
      <c r="H8" s="11">
        <f t="shared" si="0"/>
        <v>10000</v>
      </c>
    </row>
    <row r="9" spans="1:8" ht="31.5" customHeight="1" x14ac:dyDescent="0.2">
      <c r="A9" s="107" t="s">
        <v>21</v>
      </c>
      <c r="B9" s="92"/>
      <c r="C9" s="92"/>
      <c r="D9" s="92"/>
      <c r="E9" s="92"/>
      <c r="F9" s="92"/>
      <c r="G9" s="100"/>
      <c r="H9" s="11">
        <f>H7+H8</f>
        <v>110000</v>
      </c>
    </row>
    <row r="10" spans="1:8" ht="31.5" customHeight="1" x14ac:dyDescent="0.2">
      <c r="A10" s="107" t="s">
        <v>22</v>
      </c>
      <c r="B10" s="92"/>
      <c r="C10" s="92"/>
      <c r="D10" s="92"/>
      <c r="E10" s="92"/>
      <c r="F10" s="92"/>
      <c r="G10" s="100"/>
      <c r="H10" s="11">
        <f>H9*0.05</f>
        <v>5500</v>
      </c>
    </row>
    <row r="11" spans="1:8" ht="31.5" customHeight="1" x14ac:dyDescent="0.2">
      <c r="A11" s="108" t="s">
        <v>23</v>
      </c>
      <c r="B11" s="109"/>
      <c r="C11" s="109"/>
      <c r="D11" s="109"/>
      <c r="E11" s="109"/>
      <c r="F11" s="109"/>
      <c r="G11" s="110"/>
      <c r="H11" s="12">
        <f>H9+H10</f>
        <v>115500</v>
      </c>
    </row>
    <row r="12" spans="1:8" ht="17.25" customHeight="1" x14ac:dyDescent="0.2">
      <c r="A12" s="115" t="s">
        <v>24</v>
      </c>
      <c r="B12" s="113"/>
      <c r="C12" s="113"/>
      <c r="D12" s="113"/>
      <c r="E12" s="113"/>
      <c r="F12" s="113"/>
      <c r="G12" s="113"/>
      <c r="H12" s="116"/>
    </row>
    <row r="13" spans="1:8" ht="21" customHeight="1" x14ac:dyDescent="0.2">
      <c r="A13" s="117" t="s">
        <v>25</v>
      </c>
      <c r="B13" s="118"/>
      <c r="C13" s="118"/>
      <c r="D13" s="118"/>
      <c r="E13" s="118"/>
      <c r="F13" s="118"/>
      <c r="G13" s="118"/>
      <c r="H13" s="119"/>
    </row>
    <row r="14" spans="1:8" ht="21" customHeight="1" x14ac:dyDescent="0.2">
      <c r="A14" s="13" t="s">
        <v>26</v>
      </c>
      <c r="B14" s="14"/>
      <c r="C14" s="14"/>
      <c r="D14" s="14"/>
      <c r="E14" s="14"/>
      <c r="F14" s="14"/>
      <c r="G14" s="14"/>
      <c r="H14" s="15"/>
    </row>
    <row r="15" spans="1:8" ht="21" customHeight="1" x14ac:dyDescent="0.2">
      <c r="A15" s="13" t="s">
        <v>27</v>
      </c>
      <c r="B15" s="14"/>
      <c r="C15" s="14"/>
      <c r="D15" s="14"/>
      <c r="E15" s="14"/>
      <c r="F15" s="14"/>
      <c r="G15" s="14"/>
      <c r="H15" s="15"/>
    </row>
    <row r="16" spans="1:8" ht="21" customHeight="1" x14ac:dyDescent="0.2">
      <c r="A16" s="13" t="s">
        <v>28</v>
      </c>
      <c r="B16" s="14"/>
      <c r="C16" s="14"/>
      <c r="D16" s="14"/>
      <c r="E16" s="14"/>
      <c r="F16" s="14"/>
      <c r="G16" s="14"/>
      <c r="H16" s="15"/>
    </row>
    <row r="17" spans="1:8" ht="21" customHeight="1" x14ac:dyDescent="0.2">
      <c r="A17" s="13" t="s">
        <v>29</v>
      </c>
      <c r="B17" s="14"/>
      <c r="C17" s="14"/>
      <c r="D17" s="14"/>
      <c r="E17" s="14"/>
      <c r="F17" s="14"/>
      <c r="G17" s="14"/>
      <c r="H17" s="15"/>
    </row>
    <row r="18" spans="1:8" ht="21" customHeight="1" x14ac:dyDescent="0.2">
      <c r="A18" s="13" t="s">
        <v>30</v>
      </c>
      <c r="B18" s="14"/>
      <c r="C18" s="14"/>
      <c r="D18" s="14"/>
      <c r="E18" s="14"/>
      <c r="F18" s="14"/>
      <c r="G18" s="14"/>
      <c r="H18" s="15"/>
    </row>
    <row r="19" spans="1:8" ht="21" customHeight="1" x14ac:dyDescent="0.2">
      <c r="A19" s="13" t="s">
        <v>31</v>
      </c>
      <c r="B19" s="14"/>
      <c r="C19" s="14"/>
      <c r="D19" s="14"/>
      <c r="E19" s="14"/>
      <c r="F19" s="14"/>
      <c r="G19" s="14"/>
      <c r="H19" s="15"/>
    </row>
    <row r="20" spans="1:8" ht="21" customHeight="1" x14ac:dyDescent="0.2">
      <c r="A20" s="13" t="s">
        <v>32</v>
      </c>
      <c r="B20" s="14"/>
      <c r="C20" s="14"/>
      <c r="D20" s="14"/>
      <c r="E20" s="14"/>
      <c r="F20" s="14"/>
      <c r="G20" s="14"/>
      <c r="H20" s="15"/>
    </row>
    <row r="21" spans="1:8" ht="21" customHeight="1" x14ac:dyDescent="0.2">
      <c r="A21" s="13" t="s">
        <v>33</v>
      </c>
      <c r="B21" s="14"/>
      <c r="C21" s="14"/>
      <c r="D21" s="14"/>
      <c r="E21" s="14"/>
      <c r="F21" s="14"/>
      <c r="G21" s="14"/>
      <c r="H21" s="15"/>
    </row>
    <row r="22" spans="1:8" ht="25.5" customHeight="1" x14ac:dyDescent="0.2">
      <c r="A22" s="16" t="s">
        <v>34</v>
      </c>
      <c r="B22" s="17"/>
      <c r="C22" s="17"/>
      <c r="D22" s="17"/>
      <c r="E22" s="17"/>
      <c r="F22" s="17"/>
      <c r="G22" s="17"/>
      <c r="H22" s="18"/>
    </row>
    <row r="23" spans="1:8" ht="32.25" customHeight="1" x14ac:dyDescent="0.2">
      <c r="A23" s="122" t="s">
        <v>35</v>
      </c>
      <c r="B23" s="104"/>
      <c r="C23" s="104"/>
      <c r="D23" s="105"/>
      <c r="E23" s="123" t="s">
        <v>36</v>
      </c>
      <c r="F23" s="104"/>
      <c r="G23" s="104"/>
      <c r="H23" s="124"/>
    </row>
    <row r="24" spans="1:8" ht="24" customHeight="1" x14ac:dyDescent="0.2">
      <c r="A24" s="19" t="s">
        <v>37</v>
      </c>
      <c r="B24" s="120" t="s">
        <v>38</v>
      </c>
      <c r="C24" s="92"/>
      <c r="D24" s="100"/>
      <c r="E24" s="125" t="s">
        <v>39</v>
      </c>
      <c r="F24" s="95"/>
      <c r="G24" s="95"/>
      <c r="H24" s="96"/>
    </row>
    <row r="25" spans="1:8" ht="24" customHeight="1" x14ac:dyDescent="0.2">
      <c r="A25" s="19" t="s">
        <v>40</v>
      </c>
      <c r="B25" s="120" t="s">
        <v>41</v>
      </c>
      <c r="C25" s="92"/>
      <c r="D25" s="100"/>
      <c r="E25" s="126"/>
      <c r="F25" s="127"/>
      <c r="G25" s="127"/>
      <c r="H25" s="128"/>
    </row>
    <row r="26" spans="1:8" ht="24" customHeight="1" x14ac:dyDescent="0.2">
      <c r="A26" s="19" t="s">
        <v>42</v>
      </c>
      <c r="B26" s="120">
        <v>60634849</v>
      </c>
      <c r="C26" s="92"/>
      <c r="D26" s="100"/>
      <c r="E26" s="126"/>
      <c r="F26" s="127"/>
      <c r="G26" s="127"/>
      <c r="H26" s="128"/>
    </row>
    <row r="27" spans="1:8" ht="24" customHeight="1" x14ac:dyDescent="0.2">
      <c r="A27" s="19" t="s">
        <v>43</v>
      </c>
      <c r="B27" s="120" t="s">
        <v>44</v>
      </c>
      <c r="C27" s="92"/>
      <c r="D27" s="100"/>
      <c r="E27" s="126"/>
      <c r="F27" s="127"/>
      <c r="G27" s="127"/>
      <c r="H27" s="128"/>
    </row>
    <row r="28" spans="1:8" ht="50.25" customHeight="1" x14ac:dyDescent="0.2">
      <c r="A28" s="20" t="s">
        <v>45</v>
      </c>
      <c r="B28" s="121" t="s">
        <v>46</v>
      </c>
      <c r="C28" s="109"/>
      <c r="D28" s="110"/>
      <c r="E28" s="129"/>
      <c r="F28" s="130"/>
      <c r="G28" s="130"/>
      <c r="H28" s="131"/>
    </row>
    <row r="29" spans="1:8" ht="24" customHeight="1" x14ac:dyDescent="0.2">
      <c r="A29" s="112" t="s">
        <v>47</v>
      </c>
      <c r="B29" s="113"/>
      <c r="C29" s="113"/>
      <c r="D29" s="113"/>
      <c r="E29" s="113"/>
      <c r="F29" s="113"/>
      <c r="G29" s="113"/>
      <c r="H29" s="114"/>
    </row>
  </sheetData>
  <mergeCells count="26">
    <mergeCell ref="A29:H29"/>
    <mergeCell ref="A12:H12"/>
    <mergeCell ref="A13:H13"/>
    <mergeCell ref="B27:D27"/>
    <mergeCell ref="B28:D28"/>
    <mergeCell ref="A23:D23"/>
    <mergeCell ref="E23:H23"/>
    <mergeCell ref="B24:D24"/>
    <mergeCell ref="E24:H28"/>
    <mergeCell ref="B25:D25"/>
    <mergeCell ref="B26:D26"/>
    <mergeCell ref="B6:E6"/>
    <mergeCell ref="B7:E7"/>
    <mergeCell ref="A9:G9"/>
    <mergeCell ref="A10:G10"/>
    <mergeCell ref="A11:G11"/>
    <mergeCell ref="B8:E8"/>
    <mergeCell ref="F4:H4"/>
    <mergeCell ref="F5:H5"/>
    <mergeCell ref="A1:H1"/>
    <mergeCell ref="B2:D2"/>
    <mergeCell ref="F2:H2"/>
    <mergeCell ref="B3:D3"/>
    <mergeCell ref="F3:H3"/>
    <mergeCell ref="B4:D4"/>
    <mergeCell ref="B5:D5"/>
  </mergeCells>
  <phoneticPr fontId="9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李老闆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shared4 lifong</cp:lastModifiedBy>
  <cp:lastPrinted>2026-04-08T01:45:15Z</cp:lastPrinted>
  <dcterms:created xsi:type="dcterms:W3CDTF">2026-03-23T03:19:45Z</dcterms:created>
  <dcterms:modified xsi:type="dcterms:W3CDTF">2026-04-08T01:46:59Z</dcterms:modified>
</cp:coreProperties>
</file>