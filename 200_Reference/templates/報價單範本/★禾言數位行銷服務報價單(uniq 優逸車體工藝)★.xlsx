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朱兒\朱兒\報價單\UniQ 優逸車體工藝\"/>
    </mc:Choice>
  </mc:AlternateContent>
  <xr:revisionPtr revIDLastSave="0" documentId="13_ncr:1_{33B2BED4-939C-4F3C-B20F-10C8378597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李老闆" sheetId="1" r:id="rId1"/>
    <sheet name="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G12" i="1"/>
  <c r="G11" i="1"/>
  <c r="H13" i="1"/>
  <c r="H8" i="1"/>
  <c r="G8" i="2" l="1"/>
  <c r="H8" i="2" s="1"/>
  <c r="H7" i="2"/>
  <c r="H9" i="2" s="1"/>
  <c r="H7" i="1"/>
  <c r="H15" i="1" s="1"/>
  <c r="H10" i="2" l="1"/>
  <c r="H11" i="2" s="1"/>
</calcChain>
</file>

<file path=xl/sharedStrings.xml><?xml version="1.0" encoding="utf-8"?>
<sst xmlns="http://schemas.openxmlformats.org/spreadsheetml/2006/main" count="105" uniqueCount="64">
  <si>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</si>
  <si>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</si>
  <si>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</si>
  <si>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</si>
  <si>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</si>
  <si>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</si>
  <si>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</si>
  <si>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</si>
  <si>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</si>
  <si>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</si>
  <si>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</si>
  <si>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</si>
  <si>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</si>
  <si>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</si>
  <si>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</si>
  <si>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</si>
  <si>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</si>
  <si>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</si>
  <si>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</si>
  <si>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</si>
  <si>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</si>
  <si>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</si>
  <si>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</si>
  <si>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</si>
  <si>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</si>
  <si>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</si>
  <si>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</si>
  <si>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</si>
  <si>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</si>
  <si>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</si>
  <si>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</si>
  <si>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</si>
  <si>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</si>
  <si>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</si>
  <si>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</si>
  <si>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</si>
  <si>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</si>
  <si>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</si>
  <si>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</si>
  <si>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</si>
  <si>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</si>
  <si>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</si>
  <si>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</si>
  <si>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</si>
  <si>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</si>
  <si>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</si>
  <si>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</si>
  <si>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</si>
  <si>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t>銀行：808 玉山銀行 台中分行
戶名：禾言數位行銷有限公司
帳號：1366940043611</t>
    <phoneticPr fontId="9" type="noConversion"/>
  </si>
  <si>
    <t>臺中市南屯區環中路四段599號</t>
    <phoneticPr fontId="9" type="noConversion"/>
  </si>
  <si>
    <t>專案策略擬定</t>
    <phoneticPr fontId="9" type="noConversion"/>
  </si>
  <si>
    <t>1.投放策略規劃：打造專屬廣告行銷策略，訂定執行媒體計畫，並依據客戶需求客製化調整
2.產業受眾管理：依照廣告受眾之年齡、性別、興趣做完整分類把關</t>
    <phoneticPr fontId="9" type="noConversion"/>
  </si>
  <si>
    <t>專案企劃服務</t>
    <phoneticPr fontId="9" type="noConversion"/>
  </si>
  <si>
    <t>1.廣告系統設定：各媒體素材過稿兩次，專人系統化設定操作、即時監控數據、預算調配與優化等服務
2.專案執行成效：依據成效表現，每季提供廣告投放建議書，強化廣告成效
3.監測報告書：提供專業數據分析報表，結合各媒體策略思維及產業特性並輔以科學分析工具，提供未來操作建議與優化</t>
    <phoneticPr fontId="9" type="noConversion"/>
  </si>
  <si>
    <r>
      <rPr>
        <strike/>
        <sz val="11"/>
        <color theme="1"/>
        <rFont val="微軟正黑體"/>
        <family val="2"/>
        <charset val="136"/>
      </rPr>
      <t>$60,000</t>
    </r>
    <r>
      <rPr>
        <sz val="11"/>
        <color theme="1"/>
        <rFont val="微軟正黑體"/>
        <family val="2"/>
        <charset val="136"/>
      </rPr>
      <t xml:space="preserve">
</t>
    </r>
    <r>
      <rPr>
        <sz val="11"/>
        <color rgb="FFFF0000"/>
        <rFont val="微軟正黑體"/>
        <family val="2"/>
        <charset val="136"/>
      </rPr>
      <t>專案贈送</t>
    </r>
    <phoneticPr fontId="9" type="noConversion"/>
  </si>
  <si>
    <t>Meta廣告投放</t>
    <phoneticPr fontId="9" type="noConversion"/>
  </si>
  <si>
    <t>報價日期：114年12月30日</t>
    <phoneticPr fontId="9" type="noConversion"/>
  </si>
  <si>
    <t>廣增商行</t>
    <phoneticPr fontId="9" type="noConversion"/>
  </si>
  <si>
    <r>
      <rPr>
        <b/>
        <sz val="10"/>
        <color theme="1"/>
        <rFont val="微軟正黑體"/>
        <family val="2"/>
        <charset val="136"/>
      </rPr>
      <t>Meta Q1廣告投放內容</t>
    </r>
    <r>
      <rPr>
        <sz val="10"/>
        <color theme="1"/>
        <rFont val="微軟正黑體"/>
        <family val="2"/>
        <charset val="136"/>
      </rPr>
      <t xml:space="preserve">
1. 以增加社群曝光，擴大觸及潛在目標受眾，提升品牌聲量與貼文互動。
2. 廣告主平台為 Meta，依實際成效彈性調整廣告格式與內容策略。
3. 投遞素材由客戶提供，內容以圖文形式為主，搭配推廣目標精準設定。
4. 提供廣告成效數據監控，並即時優化受眾與投放設定。</t>
    </r>
    <phoneticPr fontId="9" type="noConversion"/>
  </si>
  <si>
    <r>
      <rPr>
        <b/>
        <sz val="10"/>
        <color theme="1"/>
        <rFont val="微軟正黑體"/>
        <family val="2"/>
        <charset val="136"/>
      </rPr>
      <t>Meta Q2廣告投放內容</t>
    </r>
    <r>
      <rPr>
        <sz val="10"/>
        <color theme="1"/>
        <rFont val="微軟正黑體"/>
        <family val="2"/>
        <charset val="136"/>
      </rPr>
      <t xml:space="preserve">
1. 以增加社群曝光，擴大觸及潛在目標受眾，提升品牌聲量與貼文互動。
2. 廣告主平台為 Meta，依實際成效彈性調整廣告格式與內容策略。
3. 投遞素材由客戶提供，內容以圖文形式為主，搭配推廣目標精準設定。
4. 提供廣告成效數據監控，並即時優化受眾與投放設定。</t>
    </r>
    <phoneticPr fontId="9" type="noConversion"/>
  </si>
  <si>
    <t>Q1廣告投放服務費20%</t>
    <phoneticPr fontId="9" type="noConversion"/>
  </si>
  <si>
    <t>Q2廣告投放服務費20%</t>
    <phoneticPr fontId="9" type="noConversion"/>
  </si>
  <si>
    <r>
      <rPr>
        <strike/>
        <sz val="11"/>
        <color theme="1"/>
        <rFont val="微軟正黑體"/>
        <family val="2"/>
        <charset val="136"/>
      </rPr>
      <t>$9,900</t>
    </r>
    <r>
      <rPr>
        <sz val="11"/>
        <color theme="1"/>
        <rFont val="微軟正黑體"/>
        <family val="2"/>
        <charset val="136"/>
      </rPr>
      <t xml:space="preserve">
</t>
    </r>
    <r>
      <rPr>
        <sz val="11"/>
        <color rgb="FFFF0000"/>
        <rFont val="微軟正黑體"/>
        <family val="2"/>
        <charset val="136"/>
      </rPr>
      <t>專案優惠</t>
    </r>
    <phoneticPr fontId="9" type="noConversion"/>
  </si>
  <si>
    <r>
      <t xml:space="preserve">3. </t>
    </r>
    <r>
      <rPr>
        <b/>
        <sz val="10"/>
        <color rgb="FFFF0000"/>
        <rFont val="微軟正黑體"/>
        <family val="2"/>
        <charset val="136"/>
      </rPr>
      <t>本報價單採每月付款方式，自廣告投遞前10日支付，並開立服務款項之收據。</t>
    </r>
    <r>
      <rPr>
        <sz val="10"/>
        <color theme="1"/>
        <rFont val="微軟正黑體"/>
        <family val="2"/>
        <charset val="136"/>
      </rPr>
      <t xml:space="preserve">
</t>
    </r>
    <r>
      <rPr>
        <sz val="10"/>
        <color rgb="FFFF0000"/>
        <rFont val="微軟正黑體"/>
        <family val="2"/>
        <charset val="136"/>
      </rPr>
      <t>廣告投遞前開始支付Q1第一期款項 ($30,000)，第二個月廣告走期開始前支付第二期款項 ($30,000)，第三個月廣告開始前支付 ($30,000)，第四個月開始支付Q2第一期款項 ($36,000)，第五個月廣告走期開始前支付Q2第二期款項 ($36,000)，以此類推到第六個月支付完剩餘尾款。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</si>
</sst>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$]#,##0"/>
    <numFmt numFmtId="177" formatCode="[$$-1004]#,##0.00"/>
  </numFmts>
  <fonts count="23" x14ac:knownFonts="1">
    <font>
      <sz val="10"/>
      <color rgb="FF000000"/>
      <name val="Arial"/>
      <scheme val="minor"/>
    </font>
    <font>
      <b/>
      <sz val="18"/>
      <color rgb="FFF3F3F3"/>
      <name val="Noto Sans TC"/>
      <family val="2"/>
      <charset val="136"/>
    </font>
    <font>
      <sz val="10"/>
      <name val="Arial"/>
      <family val="2"/>
    </font>
    <font>
      <sz val="12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8"/>
      <color rgb="FFF3F3F3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trike/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0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/>
    </xf>
    <xf numFmtId="176" fontId="15" fillId="0" borderId="27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 wrapText="1"/>
    </xf>
    <xf numFmtId="177" fontId="0" fillId="0" borderId="0" xfId="0" applyNumberFormat="1"/>
    <xf numFmtId="0" fontId="10" fillId="0" borderId="5" xfId="0" applyFont="1" applyBorder="1" applyAlignment="1">
      <alignment vertical="center"/>
    </xf>
    <xf numFmtId="0" fontId="14" fillId="0" borderId="6" xfId="0" applyFont="1" applyBorder="1"/>
    <xf numFmtId="0" fontId="14" fillId="0" borderId="9" xfId="0" applyFont="1" applyBorder="1"/>
    <xf numFmtId="0" fontId="10" fillId="0" borderId="11" xfId="0" applyFont="1" applyBorder="1" applyAlignment="1">
      <alignment vertical="center"/>
    </xf>
    <xf numFmtId="0" fontId="14" fillId="0" borderId="12" xfId="0" applyFont="1" applyBorder="1"/>
    <xf numFmtId="0" fontId="14" fillId="0" borderId="15" xfId="0" applyFont="1" applyBorder="1"/>
    <xf numFmtId="0" fontId="13" fillId="2" borderId="1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7" xfId="0" applyFont="1" applyBorder="1"/>
    <xf numFmtId="0" fontId="10" fillId="0" borderId="5" xfId="0" applyFont="1" applyBorder="1" applyAlignment="1">
      <alignment horizontal="left" vertical="center"/>
    </xf>
    <xf numFmtId="0" fontId="14" fillId="0" borderId="13" xfId="0" applyFont="1" applyBorder="1"/>
    <xf numFmtId="0" fontId="12" fillId="4" borderId="17" xfId="0" applyFont="1" applyFill="1" applyBorder="1" applyAlignment="1">
      <alignment horizontal="center" vertical="center"/>
    </xf>
    <xf numFmtId="0" fontId="14" fillId="0" borderId="18" xfId="0" applyFont="1" applyBorder="1"/>
    <xf numFmtId="0" fontId="14" fillId="0" borderId="19" xfId="0" applyFont="1" applyBorder="1"/>
    <xf numFmtId="0" fontId="11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4" fillId="0" borderId="25" xfId="0" applyFont="1" applyBorder="1"/>
    <xf numFmtId="0" fontId="14" fillId="0" borderId="26" xfId="0" applyFont="1" applyBorder="1"/>
    <xf numFmtId="0" fontId="12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1" fillId="0" borderId="49" xfId="0" applyFont="1" applyBorder="1" applyAlignment="1">
      <alignment horizontal="right" vertical="center"/>
    </xf>
    <xf numFmtId="0" fontId="14" fillId="0" borderId="29" xfId="0" applyFont="1" applyBorder="1"/>
    <xf numFmtId="0" fontId="14" fillId="0" borderId="50" xfId="0" applyFont="1" applyBorder="1"/>
    <xf numFmtId="0" fontId="11" fillId="0" borderId="28" xfId="0" applyFont="1" applyBorder="1" applyAlignment="1">
      <alignment vertical="center"/>
    </xf>
    <xf numFmtId="0" fontId="14" fillId="0" borderId="30" xfId="0" applyFont="1" applyBorder="1"/>
    <xf numFmtId="0" fontId="11" fillId="0" borderId="31" xfId="0" applyFont="1" applyBorder="1" applyAlignment="1">
      <alignment vertical="center"/>
    </xf>
    <xf numFmtId="0" fontId="14" fillId="0" borderId="32" xfId="0" applyFont="1" applyBorder="1"/>
    <xf numFmtId="0" fontId="14" fillId="0" borderId="33" xfId="0" applyFont="1" applyBorder="1"/>
    <xf numFmtId="0" fontId="12" fillId="0" borderId="45" xfId="0" applyFont="1" applyBorder="1" applyAlignment="1">
      <alignment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4" fillId="0" borderId="41" xfId="0" applyFont="1" applyBorder="1"/>
    <xf numFmtId="0" fontId="12" fillId="0" borderId="11" xfId="0" applyFont="1" applyBorder="1" applyAlignment="1">
      <alignment vertical="center" wrapText="1"/>
    </xf>
    <xf numFmtId="0" fontId="14" fillId="0" borderId="42" xfId="0" applyFont="1" applyBorder="1"/>
    <xf numFmtId="0" fontId="17" fillId="0" borderId="0" xfId="0" applyFont="1"/>
    <xf numFmtId="0" fontId="14" fillId="0" borderId="43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8" xfId="0" applyFont="1" applyBorder="1"/>
    <xf numFmtId="0" fontId="3" fillId="0" borderId="5" xfId="0" applyFont="1" applyBorder="1" applyAlignment="1">
      <alignment vertical="center"/>
    </xf>
    <xf numFmtId="0" fontId="2" fillId="0" borderId="6" xfId="0" applyFont="1" applyBorder="1"/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2" fillId="0" borderId="12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  <xf numFmtId="0" fontId="4" fillId="4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5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4" fillId="0" borderId="5" xfId="0" applyFont="1" applyBorder="1" applyAlignment="1">
      <alignment horizontal="left" vertical="center"/>
    </xf>
    <xf numFmtId="0" fontId="8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45" xfId="0" applyFont="1" applyBorder="1" applyAlignment="1">
      <alignment vertical="center"/>
    </xf>
    <xf numFmtId="0" fontId="7" fillId="4" borderId="40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42" xfId="0" applyFont="1" applyBorder="1"/>
    <xf numFmtId="0" fontId="0" fillId="0" borderId="0" xfId="0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33"/>
  <sheetViews>
    <sheetView tabSelected="1" topLeftCell="A15" workbookViewId="0">
      <selection activeCell="A25" sqref="A25:XFD25"/>
    </sheetView>
  </sheetViews>
  <sheetFormatPr defaultColWidth="12.5703125" defaultRowHeight="15.75" customHeight="1" x14ac:dyDescent="0.2"/>
  <cols>
    <col min="1" max="1" width="17" customWidth="1"/>
    <col min="3" max="3" width="12.85546875" customWidth="1"/>
    <col min="4" max="4" width="18" customWidth="1"/>
    <col min="5" max="5" width="19.42578125" customWidth="1"/>
    <col min="6" max="7" width="14.42578125" customWidth="1"/>
    <col min="8" max="8" width="16.5703125" customWidth="1"/>
  </cols>
  <sheetData>
    <row r="1" spans="1:12" ht="40.5" customHeight="1" x14ac:dyDescent="0.25">
      <c r="A1" s="49" t="s">
        <v>0</v>
      </c>
      <c r="B1" s="50"/>
      <c r="C1" s="50"/>
      <c r="D1" s="50"/>
      <c r="E1" s="50"/>
      <c r="F1" s="50"/>
      <c r="G1" s="50"/>
      <c r="H1" s="51"/>
    </row>
    <row r="2" spans="1:12" ht="31.5" customHeight="1" x14ac:dyDescent="0.25">
      <c r="A2" s="21" t="s">
        <v>1</v>
      </c>
      <c r="B2" s="43" t="s">
        <v>57</v>
      </c>
      <c r="C2" s="44"/>
      <c r="D2" s="52"/>
      <c r="E2" s="22" t="s">
        <v>3</v>
      </c>
      <c r="F2" s="53">
        <v>95331233</v>
      </c>
      <c r="G2" s="44"/>
      <c r="H2" s="45"/>
    </row>
    <row r="3" spans="1:12" ht="31.5" customHeight="1" x14ac:dyDescent="0.25">
      <c r="A3" s="21" t="s">
        <v>4</v>
      </c>
      <c r="B3" s="43"/>
      <c r="C3" s="44"/>
      <c r="D3" s="52"/>
      <c r="E3" s="22" t="s">
        <v>5</v>
      </c>
      <c r="F3" s="43"/>
      <c r="G3" s="44"/>
      <c r="H3" s="45"/>
    </row>
    <row r="4" spans="1:12" ht="31.5" customHeight="1" x14ac:dyDescent="0.25">
      <c r="A4" s="21" t="s">
        <v>6</v>
      </c>
      <c r="B4" s="43" t="s">
        <v>49</v>
      </c>
      <c r="C4" s="44"/>
      <c r="D4" s="52"/>
      <c r="E4" s="22" t="s">
        <v>8</v>
      </c>
      <c r="F4" s="43"/>
      <c r="G4" s="44"/>
      <c r="H4" s="45"/>
    </row>
    <row r="5" spans="1:12" ht="31.5" customHeight="1" x14ac:dyDescent="0.25">
      <c r="A5" s="23" t="s">
        <v>9</v>
      </c>
      <c r="B5" s="46" t="s">
        <v>10</v>
      </c>
      <c r="C5" s="47"/>
      <c r="D5" s="54"/>
      <c r="E5" s="24" t="s">
        <v>11</v>
      </c>
      <c r="F5" s="46"/>
      <c r="G5" s="47"/>
      <c r="H5" s="48"/>
    </row>
    <row r="6" spans="1:12" ht="31.5" customHeight="1" x14ac:dyDescent="0.25">
      <c r="A6" s="25" t="s">
        <v>12</v>
      </c>
      <c r="B6" s="55" t="s">
        <v>13</v>
      </c>
      <c r="C6" s="56"/>
      <c r="D6" s="56"/>
      <c r="E6" s="57"/>
      <c r="F6" s="26" t="s">
        <v>14</v>
      </c>
      <c r="G6" s="26" t="s">
        <v>15</v>
      </c>
      <c r="H6" s="27" t="s">
        <v>16</v>
      </c>
    </row>
    <row r="7" spans="1:12" ht="84.75" customHeight="1" x14ac:dyDescent="0.25">
      <c r="A7" s="68" t="s">
        <v>55</v>
      </c>
      <c r="B7" s="58" t="s">
        <v>58</v>
      </c>
      <c r="C7" s="44"/>
      <c r="D7" s="44"/>
      <c r="E7" s="52"/>
      <c r="F7" s="28">
        <v>3</v>
      </c>
      <c r="G7" s="29">
        <v>25000</v>
      </c>
      <c r="H7" s="30">
        <f t="shared" ref="H7" si="0">F7*G7</f>
        <v>75000</v>
      </c>
    </row>
    <row r="8" spans="1:12" ht="81" customHeight="1" x14ac:dyDescent="0.2">
      <c r="A8" s="69"/>
      <c r="B8" s="58" t="s">
        <v>59</v>
      </c>
      <c r="C8" s="66"/>
      <c r="D8" s="66"/>
      <c r="E8" s="67"/>
      <c r="F8" s="28">
        <v>3</v>
      </c>
      <c r="G8" s="29">
        <v>30000</v>
      </c>
      <c r="H8" s="30">
        <f>G8*F8</f>
        <v>90000</v>
      </c>
    </row>
    <row r="9" spans="1:12" ht="50.25" customHeight="1" x14ac:dyDescent="0.2">
      <c r="A9" s="40" t="s">
        <v>50</v>
      </c>
      <c r="B9" s="58" t="s">
        <v>51</v>
      </c>
      <c r="C9" s="66"/>
      <c r="D9" s="66"/>
      <c r="E9" s="67"/>
      <c r="F9" s="28">
        <v>6</v>
      </c>
      <c r="G9" s="29">
        <v>10000</v>
      </c>
      <c r="H9" s="41" t="s">
        <v>54</v>
      </c>
    </row>
    <row r="10" spans="1:12" ht="81.75" customHeight="1" x14ac:dyDescent="0.2">
      <c r="A10" s="40" t="s">
        <v>52</v>
      </c>
      <c r="B10" s="58" t="s">
        <v>53</v>
      </c>
      <c r="C10" s="66"/>
      <c r="D10" s="66"/>
      <c r="E10" s="67"/>
      <c r="F10" s="28">
        <v>6</v>
      </c>
      <c r="G10" s="29">
        <v>10000</v>
      </c>
      <c r="H10" s="41" t="s">
        <v>54</v>
      </c>
    </row>
    <row r="11" spans="1:12" ht="21.75" customHeight="1" x14ac:dyDescent="0.25">
      <c r="A11" s="68" t="s">
        <v>19</v>
      </c>
      <c r="B11" s="65" t="s">
        <v>60</v>
      </c>
      <c r="C11" s="44"/>
      <c r="D11" s="44"/>
      <c r="E11" s="52"/>
      <c r="F11" s="28">
        <v>3</v>
      </c>
      <c r="G11" s="29">
        <f>G7*0.2</f>
        <v>5000</v>
      </c>
      <c r="H11" s="41">
        <f>G11*F11</f>
        <v>15000</v>
      </c>
    </row>
    <row r="12" spans="1:12" ht="21" customHeight="1" x14ac:dyDescent="0.25">
      <c r="A12" s="69"/>
      <c r="B12" s="65" t="s">
        <v>61</v>
      </c>
      <c r="C12" s="44"/>
      <c r="D12" s="44"/>
      <c r="E12" s="52"/>
      <c r="F12" s="28">
        <v>3</v>
      </c>
      <c r="G12" s="29">
        <f>G8*0.2</f>
        <v>6000</v>
      </c>
      <c r="H12" s="30">
        <f>F12*G12</f>
        <v>18000</v>
      </c>
    </row>
    <row r="13" spans="1:12" ht="26.25" customHeight="1" x14ac:dyDescent="0.25">
      <c r="A13" s="59" t="s">
        <v>21</v>
      </c>
      <c r="B13" s="44"/>
      <c r="C13" s="44"/>
      <c r="D13" s="44"/>
      <c r="E13" s="44"/>
      <c r="F13" s="44"/>
      <c r="G13" s="52"/>
      <c r="H13" s="30">
        <f>H7+H8+H11+H12</f>
        <v>198000</v>
      </c>
    </row>
    <row r="14" spans="1:12" ht="29.25" customHeight="1" x14ac:dyDescent="0.2">
      <c r="A14" s="59" t="s">
        <v>22</v>
      </c>
      <c r="B14" s="60"/>
      <c r="C14" s="60"/>
      <c r="D14" s="60"/>
      <c r="E14" s="60"/>
      <c r="F14" s="60"/>
      <c r="G14" s="61"/>
      <c r="H14" s="41" t="s">
        <v>62</v>
      </c>
      <c r="J14" s="42"/>
      <c r="L14" s="42"/>
    </row>
    <row r="15" spans="1:12" ht="27" customHeight="1" x14ac:dyDescent="0.25">
      <c r="A15" s="62" t="s">
        <v>23</v>
      </c>
      <c r="B15" s="63"/>
      <c r="C15" s="63"/>
      <c r="D15" s="63"/>
      <c r="E15" s="63"/>
      <c r="F15" s="63"/>
      <c r="G15" s="64"/>
      <c r="H15" s="31">
        <f>H13</f>
        <v>198000</v>
      </c>
    </row>
    <row r="16" spans="1:12" ht="15.75" customHeight="1" x14ac:dyDescent="0.25">
      <c r="A16" s="73" t="s">
        <v>24</v>
      </c>
      <c r="B16" s="71"/>
      <c r="C16" s="71"/>
      <c r="D16" s="71"/>
      <c r="E16" s="71"/>
      <c r="F16" s="71"/>
      <c r="G16" s="71"/>
      <c r="H16" s="74"/>
    </row>
    <row r="17" spans="1:8" ht="15.75" customHeight="1" x14ac:dyDescent="0.25">
      <c r="A17" s="75" t="s">
        <v>25</v>
      </c>
      <c r="B17" s="76"/>
      <c r="C17" s="76"/>
      <c r="D17" s="76"/>
      <c r="E17" s="76"/>
      <c r="F17" s="76"/>
      <c r="G17" s="76"/>
      <c r="H17" s="77"/>
    </row>
    <row r="18" spans="1:8" ht="19.5" customHeight="1" x14ac:dyDescent="0.2">
      <c r="A18" s="32" t="s">
        <v>26</v>
      </c>
      <c r="B18" s="33"/>
      <c r="C18" s="33"/>
      <c r="D18" s="33"/>
      <c r="E18" s="33"/>
      <c r="F18" s="33"/>
      <c r="G18" s="33"/>
      <c r="H18" s="34"/>
    </row>
    <row r="19" spans="1:8" ht="48" customHeight="1" x14ac:dyDescent="0.2">
      <c r="A19" s="130" t="s">
        <v>63</v>
      </c>
      <c r="B19" s="131"/>
      <c r="C19" s="131"/>
      <c r="D19" s="131"/>
      <c r="E19" s="131"/>
      <c r="F19" s="131"/>
      <c r="G19" s="131"/>
      <c r="H19" s="132"/>
    </row>
    <row r="20" spans="1:8" ht="21" customHeight="1" x14ac:dyDescent="0.2">
      <c r="A20" s="32" t="s">
        <v>28</v>
      </c>
      <c r="B20" s="33"/>
      <c r="C20" s="33"/>
      <c r="D20" s="33"/>
      <c r="E20" s="33"/>
      <c r="F20" s="33"/>
      <c r="G20" s="33"/>
      <c r="H20" s="34"/>
    </row>
    <row r="21" spans="1:8" ht="21" customHeight="1" x14ac:dyDescent="0.2">
      <c r="A21" s="32" t="s">
        <v>29</v>
      </c>
      <c r="B21" s="33"/>
      <c r="C21" s="33"/>
      <c r="D21" s="33"/>
      <c r="E21" s="33"/>
      <c r="F21" s="33"/>
      <c r="G21" s="33"/>
      <c r="H21" s="34"/>
    </row>
    <row r="22" spans="1:8" ht="21" customHeight="1" x14ac:dyDescent="0.2">
      <c r="A22" s="32" t="s">
        <v>30</v>
      </c>
      <c r="B22" s="33"/>
      <c r="C22" s="33"/>
      <c r="D22" s="33"/>
      <c r="E22" s="33"/>
      <c r="F22" s="33"/>
      <c r="G22" s="33"/>
      <c r="H22" s="34"/>
    </row>
    <row r="23" spans="1:8" ht="21" customHeight="1" x14ac:dyDescent="0.2">
      <c r="A23" s="32" t="s">
        <v>31</v>
      </c>
      <c r="B23" s="33"/>
      <c r="C23" s="33"/>
      <c r="D23" s="33"/>
      <c r="E23" s="33"/>
      <c r="F23" s="33"/>
      <c r="G23" s="33"/>
      <c r="H23" s="34"/>
    </row>
    <row r="24" spans="1:8" ht="21" customHeight="1" x14ac:dyDescent="0.2">
      <c r="A24" s="32" t="s">
        <v>32</v>
      </c>
      <c r="B24" s="33"/>
      <c r="C24" s="33"/>
      <c r="D24" s="33"/>
      <c r="E24" s="33"/>
      <c r="F24" s="33"/>
      <c r="G24" s="33"/>
      <c r="H24" s="34"/>
    </row>
    <row r="25" spans="1:8" ht="18.75" customHeight="1" x14ac:dyDescent="0.2">
      <c r="A25" s="32" t="s">
        <v>33</v>
      </c>
      <c r="B25" s="33"/>
      <c r="C25" s="33"/>
      <c r="D25" s="33"/>
      <c r="E25" s="33"/>
      <c r="F25" s="33"/>
      <c r="G25" s="33"/>
      <c r="H25" s="34"/>
    </row>
    <row r="26" spans="1:8" ht="20.25" customHeight="1" x14ac:dyDescent="0.2">
      <c r="A26" s="35" t="s">
        <v>34</v>
      </c>
      <c r="B26" s="36"/>
      <c r="C26" s="36"/>
      <c r="D26" s="36"/>
      <c r="E26" s="36"/>
      <c r="F26" s="36"/>
      <c r="G26" s="36"/>
      <c r="H26" s="37"/>
    </row>
    <row r="27" spans="1:8" ht="23.25" customHeight="1" x14ac:dyDescent="0.25">
      <c r="A27" s="79" t="s">
        <v>35</v>
      </c>
      <c r="B27" s="56"/>
      <c r="C27" s="56"/>
      <c r="D27" s="57"/>
      <c r="E27" s="80" t="s">
        <v>36</v>
      </c>
      <c r="F27" s="56"/>
      <c r="G27" s="56"/>
      <c r="H27" s="81"/>
    </row>
    <row r="28" spans="1:8" ht="24" customHeight="1" x14ac:dyDescent="0.25">
      <c r="A28" s="38" t="s">
        <v>37</v>
      </c>
      <c r="B28" s="65" t="s">
        <v>38</v>
      </c>
      <c r="C28" s="44"/>
      <c r="D28" s="52"/>
      <c r="E28" s="82" t="s">
        <v>39</v>
      </c>
      <c r="F28" s="47"/>
      <c r="G28" s="47"/>
      <c r="H28" s="48"/>
    </row>
    <row r="29" spans="1:8" ht="24" customHeight="1" x14ac:dyDescent="0.25">
      <c r="A29" s="38" t="s">
        <v>40</v>
      </c>
      <c r="B29" s="65" t="s">
        <v>41</v>
      </c>
      <c r="C29" s="44"/>
      <c r="D29" s="52"/>
      <c r="E29" s="83"/>
      <c r="F29" s="84"/>
      <c r="G29" s="84"/>
      <c r="H29" s="85"/>
    </row>
    <row r="30" spans="1:8" ht="24" customHeight="1" x14ac:dyDescent="0.25">
      <c r="A30" s="38" t="s">
        <v>42</v>
      </c>
      <c r="B30" s="65">
        <v>60634849</v>
      </c>
      <c r="C30" s="44"/>
      <c r="D30" s="52"/>
      <c r="E30" s="83"/>
      <c r="F30" s="84"/>
      <c r="G30" s="84"/>
      <c r="H30" s="85"/>
    </row>
    <row r="31" spans="1:8" ht="24" customHeight="1" x14ac:dyDescent="0.25">
      <c r="A31" s="38" t="s">
        <v>43</v>
      </c>
      <c r="B31" s="65" t="s">
        <v>44</v>
      </c>
      <c r="C31" s="44"/>
      <c r="D31" s="52"/>
      <c r="E31" s="83"/>
      <c r="F31" s="84"/>
      <c r="G31" s="84"/>
      <c r="H31" s="85"/>
    </row>
    <row r="32" spans="1:8" ht="50.25" customHeight="1" x14ac:dyDescent="0.25">
      <c r="A32" s="39" t="s">
        <v>45</v>
      </c>
      <c r="B32" s="78" t="s">
        <v>48</v>
      </c>
      <c r="C32" s="63"/>
      <c r="D32" s="64"/>
      <c r="E32" s="86"/>
      <c r="F32" s="87"/>
      <c r="G32" s="87"/>
      <c r="H32" s="88"/>
    </row>
    <row r="33" spans="1:8" ht="24" customHeight="1" x14ac:dyDescent="0.25">
      <c r="A33" s="70" t="s">
        <v>56</v>
      </c>
      <c r="B33" s="71"/>
      <c r="C33" s="71"/>
      <c r="D33" s="71"/>
      <c r="E33" s="71"/>
      <c r="F33" s="71"/>
      <c r="G33" s="71"/>
      <c r="H33" s="72"/>
    </row>
  </sheetData>
  <mergeCells count="33">
    <mergeCell ref="A33:H33"/>
    <mergeCell ref="A16:H16"/>
    <mergeCell ref="A17:H17"/>
    <mergeCell ref="B31:D31"/>
    <mergeCell ref="B32:D32"/>
    <mergeCell ref="A27:D27"/>
    <mergeCell ref="E27:H27"/>
    <mergeCell ref="B28:D28"/>
    <mergeCell ref="E28:H32"/>
    <mergeCell ref="B29:D29"/>
    <mergeCell ref="B30:D30"/>
    <mergeCell ref="A19:H19"/>
    <mergeCell ref="B6:E6"/>
    <mergeCell ref="B7:E7"/>
    <mergeCell ref="A13:G13"/>
    <mergeCell ref="A14:G14"/>
    <mergeCell ref="A15:G15"/>
    <mergeCell ref="B12:E12"/>
    <mergeCell ref="B8:E8"/>
    <mergeCell ref="A7:A8"/>
    <mergeCell ref="B9:E9"/>
    <mergeCell ref="B10:E10"/>
    <mergeCell ref="B11:E11"/>
    <mergeCell ref="A11:A12"/>
    <mergeCell ref="F4:H4"/>
    <mergeCell ref="F5:H5"/>
    <mergeCell ref="A1:H1"/>
    <mergeCell ref="B2:D2"/>
    <mergeCell ref="F2:H2"/>
    <mergeCell ref="B3:D3"/>
    <mergeCell ref="F3:H3"/>
    <mergeCell ref="B4:D4"/>
    <mergeCell ref="B5:D5"/>
  </mergeCells>
  <phoneticPr fontId="9" type="noConversion"/>
  <printOptions horizontalCentered="1" gridLines="1"/>
  <pageMargins left="0.7" right="0.7" top="0.75" bottom="0.75" header="0" footer="0"/>
  <pageSetup paperSize="9" scale="71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 x14ac:dyDescent="0.2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 x14ac:dyDescent="0.2">
      <c r="A1" s="95" t="s">
        <v>0</v>
      </c>
      <c r="B1" s="96"/>
      <c r="C1" s="96"/>
      <c r="D1" s="96"/>
      <c r="E1" s="96"/>
      <c r="F1" s="96"/>
      <c r="G1" s="96"/>
      <c r="H1" s="97"/>
    </row>
    <row r="2" spans="1:8" ht="31.5" customHeight="1" x14ac:dyDescent="0.2">
      <c r="A2" s="1" t="s">
        <v>1</v>
      </c>
      <c r="B2" s="89" t="s">
        <v>2</v>
      </c>
      <c r="C2" s="90"/>
      <c r="D2" s="98"/>
      <c r="E2" s="2" t="s">
        <v>3</v>
      </c>
      <c r="F2" s="99">
        <v>61842270</v>
      </c>
      <c r="G2" s="90"/>
      <c r="H2" s="91"/>
    </row>
    <row r="3" spans="1:8" ht="31.5" customHeight="1" x14ac:dyDescent="0.2">
      <c r="A3" s="1" t="s">
        <v>4</v>
      </c>
      <c r="B3" s="89"/>
      <c r="C3" s="90"/>
      <c r="D3" s="98"/>
      <c r="E3" s="2" t="s">
        <v>5</v>
      </c>
      <c r="F3" s="89"/>
      <c r="G3" s="90"/>
      <c r="H3" s="91"/>
    </row>
    <row r="4" spans="1:8" ht="31.5" customHeight="1" x14ac:dyDescent="0.2">
      <c r="A4" s="1" t="s">
        <v>6</v>
      </c>
      <c r="B4" s="89" t="s">
        <v>7</v>
      </c>
      <c r="C4" s="90"/>
      <c r="D4" s="98"/>
      <c r="E4" s="2" t="s">
        <v>8</v>
      </c>
      <c r="F4" s="89"/>
      <c r="G4" s="90"/>
      <c r="H4" s="91"/>
    </row>
    <row r="5" spans="1:8" ht="31.5" customHeight="1" x14ac:dyDescent="0.2">
      <c r="A5" s="3" t="s">
        <v>9</v>
      </c>
      <c r="B5" s="92" t="s">
        <v>10</v>
      </c>
      <c r="C5" s="93"/>
      <c r="D5" s="100"/>
      <c r="E5" s="4" t="s">
        <v>11</v>
      </c>
      <c r="F5" s="92"/>
      <c r="G5" s="93"/>
      <c r="H5" s="94"/>
    </row>
    <row r="6" spans="1:8" ht="31.5" customHeight="1" x14ac:dyDescent="0.2">
      <c r="A6" s="5" t="s">
        <v>12</v>
      </c>
      <c r="B6" s="101" t="s">
        <v>13</v>
      </c>
      <c r="C6" s="102"/>
      <c r="D6" s="102"/>
      <c r="E6" s="103"/>
      <c r="F6" s="6" t="s">
        <v>14</v>
      </c>
      <c r="G6" s="6" t="s">
        <v>15</v>
      </c>
      <c r="H6" s="7" t="s">
        <v>16</v>
      </c>
    </row>
    <row r="7" spans="1:8" ht="102.75" customHeight="1" x14ac:dyDescent="0.2">
      <c r="A7" s="8" t="s">
        <v>17</v>
      </c>
      <c r="B7" s="104" t="s">
        <v>18</v>
      </c>
      <c r="C7" s="90"/>
      <c r="D7" s="90"/>
      <c r="E7" s="98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 x14ac:dyDescent="0.2">
      <c r="A8" s="8" t="s">
        <v>19</v>
      </c>
      <c r="B8" s="109" t="s">
        <v>20</v>
      </c>
      <c r="C8" s="90"/>
      <c r="D8" s="90"/>
      <c r="E8" s="98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 x14ac:dyDescent="0.2">
      <c r="A9" s="105" t="s">
        <v>21</v>
      </c>
      <c r="B9" s="90"/>
      <c r="C9" s="90"/>
      <c r="D9" s="90"/>
      <c r="E9" s="90"/>
      <c r="F9" s="90"/>
      <c r="G9" s="98"/>
      <c r="H9" s="11">
        <f>H7+H8</f>
        <v>110000</v>
      </c>
    </row>
    <row r="10" spans="1:8" ht="31.5" customHeight="1" x14ac:dyDescent="0.2">
      <c r="A10" s="105" t="s">
        <v>22</v>
      </c>
      <c r="B10" s="90"/>
      <c r="C10" s="90"/>
      <c r="D10" s="90"/>
      <c r="E10" s="90"/>
      <c r="F10" s="90"/>
      <c r="G10" s="98"/>
      <c r="H10" s="11">
        <f>H9*0.05</f>
        <v>5500</v>
      </c>
    </row>
    <row r="11" spans="1:8" ht="31.5" customHeight="1" x14ac:dyDescent="0.2">
      <c r="A11" s="106" t="s">
        <v>23</v>
      </c>
      <c r="B11" s="107"/>
      <c r="C11" s="107"/>
      <c r="D11" s="107"/>
      <c r="E11" s="107"/>
      <c r="F11" s="107"/>
      <c r="G11" s="108"/>
      <c r="H11" s="12">
        <f>H9+H10</f>
        <v>115500</v>
      </c>
    </row>
    <row r="12" spans="1:8" ht="17.25" customHeight="1" x14ac:dyDescent="0.2">
      <c r="A12" s="113" t="s">
        <v>24</v>
      </c>
      <c r="B12" s="111"/>
      <c r="C12" s="111"/>
      <c r="D12" s="111"/>
      <c r="E12" s="111"/>
      <c r="F12" s="111"/>
      <c r="G12" s="111"/>
      <c r="H12" s="114"/>
    </row>
    <row r="13" spans="1:8" ht="21" customHeight="1" x14ac:dyDescent="0.2">
      <c r="A13" s="115" t="s">
        <v>25</v>
      </c>
      <c r="B13" s="116"/>
      <c r="C13" s="116"/>
      <c r="D13" s="116"/>
      <c r="E13" s="116"/>
      <c r="F13" s="116"/>
      <c r="G13" s="116"/>
      <c r="H13" s="117"/>
    </row>
    <row r="14" spans="1:8" ht="21" customHeight="1" x14ac:dyDescent="0.2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 x14ac:dyDescent="0.2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 x14ac:dyDescent="0.2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 x14ac:dyDescent="0.2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 x14ac:dyDescent="0.2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 x14ac:dyDescent="0.2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 x14ac:dyDescent="0.2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 x14ac:dyDescent="0.2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 x14ac:dyDescent="0.2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 x14ac:dyDescent="0.2">
      <c r="A23" s="120" t="s">
        <v>35</v>
      </c>
      <c r="B23" s="102"/>
      <c r="C23" s="102"/>
      <c r="D23" s="103"/>
      <c r="E23" s="121" t="s">
        <v>36</v>
      </c>
      <c r="F23" s="102"/>
      <c r="G23" s="102"/>
      <c r="H23" s="122"/>
    </row>
    <row r="24" spans="1:8" ht="24" customHeight="1" x14ac:dyDescent="0.2">
      <c r="A24" s="19" t="s">
        <v>37</v>
      </c>
      <c r="B24" s="118" t="s">
        <v>38</v>
      </c>
      <c r="C24" s="90"/>
      <c r="D24" s="98"/>
      <c r="E24" s="123" t="s">
        <v>39</v>
      </c>
      <c r="F24" s="93"/>
      <c r="G24" s="93"/>
      <c r="H24" s="94"/>
    </row>
    <row r="25" spans="1:8" ht="24" customHeight="1" x14ac:dyDescent="0.2">
      <c r="A25" s="19" t="s">
        <v>40</v>
      </c>
      <c r="B25" s="118" t="s">
        <v>41</v>
      </c>
      <c r="C25" s="90"/>
      <c r="D25" s="98"/>
      <c r="E25" s="124"/>
      <c r="F25" s="125"/>
      <c r="G25" s="125"/>
      <c r="H25" s="126"/>
    </row>
    <row r="26" spans="1:8" ht="24" customHeight="1" x14ac:dyDescent="0.2">
      <c r="A26" s="19" t="s">
        <v>42</v>
      </c>
      <c r="B26" s="118">
        <v>60634849</v>
      </c>
      <c r="C26" s="90"/>
      <c r="D26" s="98"/>
      <c r="E26" s="124"/>
      <c r="F26" s="125"/>
      <c r="G26" s="125"/>
      <c r="H26" s="126"/>
    </row>
    <row r="27" spans="1:8" ht="24" customHeight="1" x14ac:dyDescent="0.2">
      <c r="A27" s="19" t="s">
        <v>43</v>
      </c>
      <c r="B27" s="118" t="s">
        <v>44</v>
      </c>
      <c r="C27" s="90"/>
      <c r="D27" s="98"/>
      <c r="E27" s="124"/>
      <c r="F27" s="125"/>
      <c r="G27" s="125"/>
      <c r="H27" s="126"/>
    </row>
    <row r="28" spans="1:8" ht="50.25" customHeight="1" x14ac:dyDescent="0.2">
      <c r="A28" s="20" t="s">
        <v>45</v>
      </c>
      <c r="B28" s="119" t="s">
        <v>46</v>
      </c>
      <c r="C28" s="107"/>
      <c r="D28" s="108"/>
      <c r="E28" s="127"/>
      <c r="F28" s="128"/>
      <c r="G28" s="128"/>
      <c r="H28" s="129"/>
    </row>
    <row r="29" spans="1:8" ht="24" customHeight="1" x14ac:dyDescent="0.2">
      <c r="A29" s="110" t="s">
        <v>47</v>
      </c>
      <c r="B29" s="111"/>
      <c r="C29" s="111"/>
      <c r="D29" s="111"/>
      <c r="E29" s="111"/>
      <c r="F29" s="111"/>
      <c r="G29" s="111"/>
      <c r="H29" s="112"/>
    </row>
  </sheetData>
  <mergeCells count="26"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  <mergeCell ref="B6:E6"/>
    <mergeCell ref="B7:E7"/>
    <mergeCell ref="A9:G9"/>
    <mergeCell ref="A10:G10"/>
    <mergeCell ref="A11:G11"/>
    <mergeCell ref="B8:E8"/>
    <mergeCell ref="F4:H4"/>
    <mergeCell ref="F5:H5"/>
    <mergeCell ref="A1:H1"/>
    <mergeCell ref="B2:D2"/>
    <mergeCell ref="F2:H2"/>
    <mergeCell ref="B3:D3"/>
    <mergeCell ref="F3:H3"/>
    <mergeCell ref="B4:D4"/>
    <mergeCell ref="B5:D5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shared4 lifong</cp:lastModifiedBy>
  <cp:lastPrinted>2025-12-30T07:30:04Z</cp:lastPrinted>
  <dcterms:created xsi:type="dcterms:W3CDTF">2025-12-30T01:29:03Z</dcterms:created>
  <dcterms:modified xsi:type="dcterms:W3CDTF">2025-12-30T07:30:36Z</dcterms:modified>
</cp:coreProperties>
</file>