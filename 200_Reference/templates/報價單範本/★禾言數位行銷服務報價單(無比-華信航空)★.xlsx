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朱兒\朱兒\●報價單\無比\"/>
    </mc:Choice>
  </mc:AlternateContent>
  <xr:revisionPtr revIDLastSave="0" documentId="13_ncr:1_{034CC60E-ECD8-4EFD-B595-C2348EEC40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李老闆" sheetId="1" r:id="rId1"/>
    <sheet name="模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G8" i="2" l="1"/>
  <c r="H8" i="2" s="1"/>
  <c r="H7" i="2"/>
  <c r="H9" i="2" s="1"/>
  <c r="H7" i="1"/>
  <c r="H12" i="1" l="1"/>
  <c r="H10" i="2"/>
  <c r="H11" i="2" s="1"/>
</calcChain>
</file>

<file path=xl/sharedStrings.xml><?xml version="1.0" encoding="utf-8"?>
<sst xmlns="http://schemas.openxmlformats.org/spreadsheetml/2006/main" count="98" uniqueCount="58">
  <si>
    <t>禾言數位行銷服務報價單</t>
  </si>
  <si>
    <t>公司名稱：</t>
  </si>
  <si>
    <t>李老闆股份有限公司</t>
  </si>
  <si>
    <t>統一編號：</t>
  </si>
  <si>
    <t>公司電話：</t>
  </si>
  <si>
    <t>連絡人：</t>
  </si>
  <si>
    <t>發票地址：</t>
  </si>
  <si>
    <t>臺中市南屯區益豐路三段377號</t>
  </si>
  <si>
    <t>行動電話：</t>
  </si>
  <si>
    <t>付款方式：</t>
  </si>
  <si>
    <t>□現金 ■匯款</t>
  </si>
  <si>
    <t>E - m a i l：</t>
  </si>
  <si>
    <t>項目</t>
  </si>
  <si>
    <t>內容</t>
  </si>
  <si>
    <t>數量</t>
  </si>
  <si>
    <t>單價</t>
  </si>
  <si>
    <t>未稅金額（NT）</t>
  </si>
  <si>
    <t>META廣告投放</t>
  </si>
  <si>
    <t>META廣告投放內容
1. 以品牌曝光與電商導流為主，擴大觸及潛在消費者，提升官網流量與聲量。
2. 廣告主平台為 META，依實際成效彈性調整廣告格式與內容策略。
3. 投遞素材由客戶提供，內容以圖文形式為主，搭配推廣目標精準設定。
4. 提供廣告成效數據監控，並即時優化受眾與投放設定。</t>
  </si>
  <si>
    <t>整合行銷服務費</t>
  </si>
  <si>
    <t>廣告投放服務費10%</t>
  </si>
  <si>
    <t>小 計：</t>
  </si>
  <si>
    <t>營業稅5%</t>
  </si>
  <si>
    <t>總金額 (含稅)</t>
  </si>
  <si>
    <t>【 備 註 】</t>
  </si>
  <si>
    <t>1. 本報價單自報價日起有效期限為10天，逾期視為無效報價。</t>
  </si>
  <si>
    <t>2. 一經簽立並蓋章回傳，即視為正式委刊合約，雙方應依誠信原則履約。</t>
  </si>
  <si>
    <t>3. 廣告執行前須完成全額付款，並由本公司開立服務總額之收據。</t>
  </si>
  <si>
    <t>4. 本報價單如有新增、刪除或修改，須以書面為之，並經雙方授權代表簽章後方為有效。</t>
  </si>
  <si>
    <t>5. 本案以實際執行起始日起計算一個月為專案走期，廣告費用須於走期±10天內執行完畢。</t>
  </si>
  <si>
    <t>6. 若因客戶未能如期提供素材致使廣告未能上線，惟版位已保留者，仍須依合約付款。</t>
  </si>
  <si>
    <t>7. 為保障專業與資料安全，本專案廣告後台管理權限歸本公司所有，恕不對外開放，亦不提供查閱、監控等權限（包括但不限於曝光量、點擊率等指標）。</t>
  </si>
  <si>
    <t>8. 廣告走期結束後，本公司將提供包含曝光量、點擊率、轉換率等關鍵指標的成效報告，供廠商參考。</t>
  </si>
  <si>
    <t>9. 客戶對於本案所接觸之公司業務、資料或往來內容，應負永久保密義務。</t>
  </si>
  <si>
    <t>10. 合約一經啟動即不得提前終止，若任一方片面中止，應賠償合約總金額兩倍作為違約金。</t>
  </si>
  <si>
    <t>報價單位</t>
  </si>
  <si>
    <t>委刊單位簽章</t>
  </si>
  <si>
    <t>公司名稱</t>
  </si>
  <si>
    <t>禾言數位行銷有限公司</t>
  </si>
  <si>
    <t xml:space="preserve">
</t>
  </si>
  <si>
    <t>電　　話</t>
  </si>
  <si>
    <t>0910-422-192</t>
  </si>
  <si>
    <t>統一編號</t>
  </si>
  <si>
    <t>地　　址</t>
  </si>
  <si>
    <t>403台中市西區公益里忠明南路237號12樓之2</t>
  </si>
  <si>
    <t>銀行轉帳</t>
  </si>
  <si>
    <t>銀行：808 玉山銀行 台中分行
戶名：禾言數位行銷有限公司
帳號：1366940043611</t>
  </si>
  <si>
    <t>報價日期：114年8月4日</t>
  </si>
  <si>
    <t>銀行：808 玉山銀行 台中分行
戶名：禾言數位行銷有限公司
帳號：1366940043611</t>
    <phoneticPr fontId="9" type="noConversion"/>
  </si>
  <si>
    <t>臺中市西屯區中平路1418號</t>
    <phoneticPr fontId="9" type="noConversion"/>
  </si>
  <si>
    <t>無比整合行銷有限公司</t>
    <phoneticPr fontId="9" type="noConversion"/>
  </si>
  <si>
    <t>Instagram 
廣告投放</t>
    <phoneticPr fontId="9" type="noConversion"/>
  </si>
  <si>
    <t>Reels 
短影音廣告投放</t>
    <phoneticPr fontId="9" type="noConversion"/>
  </si>
  <si>
    <t>報價日期：115年5月12日</t>
    <phoneticPr fontId="9" type="noConversion"/>
  </si>
  <si>
    <t>Facebook
廣告投放</t>
    <phoneticPr fontId="9" type="noConversion"/>
  </si>
  <si>
    <t>1. 以Reels短影音格式，引爆話題傳播，提升影片完看率與黏著度。
2. 病毒式傳播，大量曝光觸及潛在用戶。
3. 即時監控廣告成效並調整受眾以利優化成本。</t>
    <phoneticPr fontId="9" type="noConversion"/>
  </si>
  <si>
    <r>
      <t>1. 以品牌活動曝光為主，</t>
    </r>
    <r>
      <rPr>
        <b/>
        <sz val="10"/>
        <color theme="1"/>
        <rFont val="微軟正黑體"/>
        <family val="2"/>
        <charset val="136"/>
      </rPr>
      <t>擴大觸及潛在族群</t>
    </r>
    <r>
      <rPr>
        <sz val="10"/>
        <color theme="1"/>
        <rFont val="微軟正黑體"/>
        <family val="2"/>
        <charset val="136"/>
      </rPr>
      <t>，提升品牌活動流量與聲量。
2. 素材由客戶提供，以FB貼文為投遞素材，搭配推廣目標精準設定。
3. 即時監控FB廣告後台數據，滾動式調整受眾配置以利優化投遞成本。</t>
    </r>
    <phoneticPr fontId="9" type="noConversion"/>
  </si>
  <si>
    <r>
      <t>1. 以品牌活動曝光為主，</t>
    </r>
    <r>
      <rPr>
        <b/>
        <sz val="10"/>
        <color theme="1"/>
        <rFont val="微軟正黑體"/>
        <family val="2"/>
        <charset val="136"/>
      </rPr>
      <t>加強活動視覺觸及</t>
    </r>
    <r>
      <rPr>
        <sz val="10"/>
        <color theme="1"/>
        <rFont val="微軟正黑體"/>
        <family val="2"/>
        <charset val="136"/>
      </rPr>
      <t>、提升受眾族群關注與互動。
2. 素材由客戶提供，以IG貼文為投遞素材，精準鎖定目標族群設定。
3.即時監控IG廣告互動成效，動態調整受眾標籤以利優化互動成本。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</si>
</sst>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]#,##0"/>
  </numFmts>
  <fonts count="19" x14ac:knownFonts="1">
    <font>
      <sz val="10"/>
      <color rgb="FF000000"/>
      <name val="Arial"/>
      <scheme val="minor"/>
    </font>
    <font>
      <b/>
      <sz val="18"/>
      <color rgb="FFF3F3F3"/>
      <name val="Noto Sans TC"/>
      <family val="2"/>
      <charset val="136"/>
    </font>
    <font>
      <sz val="10"/>
      <name val="Arial"/>
      <family val="2"/>
    </font>
    <font>
      <sz val="12"/>
      <color theme="1"/>
      <name val="Noto Sans TC"/>
      <family val="2"/>
      <charset val="136"/>
    </font>
    <font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b/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sz val="9"/>
      <name val="Arial"/>
      <family val="3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8"/>
      <color rgb="FFF3F3F3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0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3" fontId="12" fillId="0" borderId="8" xfId="0" applyNumberFormat="1" applyFont="1" applyBorder="1" applyAlignment="1">
      <alignment horizontal="center" vertical="center"/>
    </xf>
    <xf numFmtId="176" fontId="12" fillId="0" borderId="22" xfId="0" applyNumberFormat="1" applyFont="1" applyBorder="1" applyAlignment="1">
      <alignment horizontal="center" vertical="center"/>
    </xf>
    <xf numFmtId="176" fontId="15" fillId="0" borderId="27" xfId="0" applyNumberFormat="1" applyFont="1" applyBorder="1" applyAlignment="1">
      <alignment horizontal="center" vertical="center"/>
    </xf>
    <xf numFmtId="0" fontId="11" fillId="0" borderId="34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/>
    </xf>
    <xf numFmtId="0" fontId="12" fillId="0" borderId="10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1" fillId="0" borderId="49" xfId="0" applyFont="1" applyBorder="1" applyAlignment="1">
      <alignment horizontal="right" vertical="center"/>
    </xf>
    <xf numFmtId="0" fontId="14" fillId="0" borderId="29" xfId="0" applyFont="1" applyBorder="1"/>
    <xf numFmtId="0" fontId="14" fillId="0" borderId="50" xfId="0" applyFont="1" applyBorder="1"/>
    <xf numFmtId="0" fontId="11" fillId="0" borderId="28" xfId="0" applyFont="1" applyBorder="1" applyAlignment="1">
      <alignment vertical="center"/>
    </xf>
    <xf numFmtId="0" fontId="14" fillId="0" borderId="30" xfId="0" applyFont="1" applyBorder="1"/>
    <xf numFmtId="0" fontId="11" fillId="0" borderId="31" xfId="0" applyFont="1" applyBorder="1" applyAlignment="1">
      <alignment vertical="center"/>
    </xf>
    <xf numFmtId="0" fontId="14" fillId="0" borderId="32" xfId="0" applyFont="1" applyBorder="1"/>
    <xf numFmtId="0" fontId="14" fillId="0" borderId="33" xfId="0" applyFont="1" applyBorder="1"/>
    <xf numFmtId="0" fontId="12" fillId="0" borderId="5" xfId="0" applyFont="1" applyBorder="1" applyAlignment="1">
      <alignment horizontal="left" vertical="center" wrapText="1"/>
    </xf>
    <xf numFmtId="0" fontId="14" fillId="0" borderId="6" xfId="0" applyFont="1" applyBorder="1"/>
    <xf numFmtId="0" fontId="14" fillId="0" borderId="7" xfId="0" applyFont="1" applyBorder="1"/>
    <xf numFmtId="0" fontId="12" fillId="0" borderId="45" xfId="0" applyFont="1" applyBorder="1" applyAlignment="1">
      <alignment vertical="center" wrapText="1"/>
    </xf>
    <xf numFmtId="0" fontId="14" fillId="0" borderId="25" xfId="0" applyFont="1" applyBorder="1"/>
    <xf numFmtId="0" fontId="14" fillId="0" borderId="26" xfId="0" applyFont="1" applyBorder="1"/>
    <xf numFmtId="0" fontId="16" fillId="4" borderId="40" xfId="0" applyFont="1" applyFill="1" applyBorder="1" applyAlignment="1">
      <alignment horizontal="center" vertical="center" wrapText="1"/>
    </xf>
    <xf numFmtId="0" fontId="14" fillId="0" borderId="18" xfId="0" applyFont="1" applyBorder="1"/>
    <xf numFmtId="0" fontId="14" fillId="0" borderId="19" xfId="0" applyFont="1" applyBorder="1"/>
    <xf numFmtId="0" fontId="16" fillId="4" borderId="17" xfId="0" applyFont="1" applyFill="1" applyBorder="1" applyAlignment="1">
      <alignment horizontal="center" vertical="center" wrapText="1"/>
    </xf>
    <xf numFmtId="0" fontId="14" fillId="0" borderId="41" xfId="0" applyFont="1" applyBorder="1"/>
    <xf numFmtId="0" fontId="12" fillId="0" borderId="11" xfId="0" applyFont="1" applyBorder="1" applyAlignment="1">
      <alignment vertical="center" wrapText="1"/>
    </xf>
    <xf numFmtId="0" fontId="14" fillId="0" borderId="12" xfId="0" applyFont="1" applyBorder="1"/>
    <xf numFmtId="0" fontId="14" fillId="0" borderId="15" xfId="0" applyFont="1" applyBorder="1"/>
    <xf numFmtId="0" fontId="14" fillId="0" borderId="42" xfId="0" applyFont="1" applyBorder="1"/>
    <xf numFmtId="0" fontId="17" fillId="0" borderId="0" xfId="0" applyFont="1"/>
    <xf numFmtId="0" fontId="14" fillId="0" borderId="43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8" xfId="0" applyFont="1" applyBorder="1"/>
    <xf numFmtId="0" fontId="12" fillId="4" borderId="17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4" fillId="0" borderId="9" xfId="0" applyFont="1" applyBorder="1"/>
    <xf numFmtId="0" fontId="10" fillId="0" borderId="11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0" fillId="0" borderId="5" xfId="0" applyFont="1" applyBorder="1" applyAlignment="1">
      <alignment horizontal="left" vertical="center"/>
    </xf>
    <xf numFmtId="0" fontId="14" fillId="0" borderId="13" xfId="0" applyFont="1" applyBorder="1"/>
    <xf numFmtId="0" fontId="8" fillId="0" borderId="49" xfId="0" applyFont="1" applyBorder="1" applyAlignment="1">
      <alignment horizontal="right" vertical="center"/>
    </xf>
    <xf numFmtId="0" fontId="2" fillId="0" borderId="29" xfId="0" applyFont="1" applyBorder="1"/>
    <xf numFmtId="0" fontId="2" fillId="0" borderId="50" xfId="0" applyFont="1" applyBorder="1"/>
    <xf numFmtId="0" fontId="5" fillId="0" borderId="28" xfId="0" applyFont="1" applyBorder="1" applyAlignment="1">
      <alignment vertical="center"/>
    </xf>
    <xf numFmtId="0" fontId="2" fillId="0" borderId="30" xfId="0" applyFont="1" applyBorder="1"/>
    <xf numFmtId="0" fontId="5" fillId="0" borderId="31" xfId="0" applyFont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4" fillId="0" borderId="45" xfId="0" applyFont="1" applyBorder="1" applyAlignment="1">
      <alignment vertical="center"/>
    </xf>
    <xf numFmtId="0" fontId="2" fillId="0" borderId="25" xfId="0" applyFont="1" applyBorder="1"/>
    <xf numFmtId="0" fontId="2" fillId="0" borderId="26" xfId="0" applyFont="1" applyBorder="1"/>
    <xf numFmtId="0" fontId="7" fillId="4" borderId="40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7" fillId="4" borderId="17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4" fillId="0" borderId="11" xfId="0" applyFont="1" applyBorder="1" applyAlignment="1">
      <alignment vertical="center" wrapText="1"/>
    </xf>
    <xf numFmtId="0" fontId="2" fillId="0" borderId="12" xfId="0" applyFont="1" applyBorder="1"/>
    <xf numFmtId="0" fontId="2" fillId="0" borderId="15" xfId="0" applyFont="1" applyBorder="1"/>
    <xf numFmtId="0" fontId="2" fillId="0" borderId="42" xfId="0" applyFont="1" applyBorder="1"/>
    <xf numFmtId="0" fontId="0" fillId="0" borderId="0" xfId="0"/>
    <xf numFmtId="0" fontId="2" fillId="0" borderId="43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4" fillId="4" borderId="1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9" xfId="0" applyFont="1" applyBorder="1"/>
    <xf numFmtId="0" fontId="3" fillId="0" borderId="1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left" vertical="center"/>
    </xf>
    <xf numFmtId="0" fontId="2" fillId="0" borderId="1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0"/>
  <sheetViews>
    <sheetView tabSelected="1" topLeftCell="A5" workbookViewId="0">
      <selection activeCell="M13" sqref="M13"/>
    </sheetView>
  </sheetViews>
  <sheetFormatPr defaultColWidth="12.5703125" defaultRowHeight="15.75" customHeight="1" x14ac:dyDescent="0.2"/>
  <cols>
    <col min="1" max="1" width="17" customWidth="1"/>
    <col min="3" max="3" width="12.85546875" customWidth="1"/>
    <col min="4" max="4" width="18" customWidth="1"/>
    <col min="5" max="5" width="19.42578125" customWidth="1"/>
    <col min="6" max="7" width="14.42578125" customWidth="1"/>
    <col min="8" max="8" width="16.5703125" customWidth="1"/>
  </cols>
  <sheetData>
    <row r="1" spans="1:8" ht="40.5" customHeight="1" x14ac:dyDescent="0.25">
      <c r="A1" s="78" t="s">
        <v>0</v>
      </c>
      <c r="B1" s="79"/>
      <c r="C1" s="79"/>
      <c r="D1" s="79"/>
      <c r="E1" s="79"/>
      <c r="F1" s="79"/>
      <c r="G1" s="79"/>
      <c r="H1" s="80"/>
    </row>
    <row r="2" spans="1:8" ht="31.5" customHeight="1" x14ac:dyDescent="0.25">
      <c r="A2" s="21" t="s">
        <v>1</v>
      </c>
      <c r="B2" s="75" t="s">
        <v>50</v>
      </c>
      <c r="C2" s="52"/>
      <c r="D2" s="53"/>
      <c r="E2" s="22" t="s">
        <v>3</v>
      </c>
      <c r="F2" s="81">
        <v>90408090</v>
      </c>
      <c r="G2" s="52"/>
      <c r="H2" s="76"/>
    </row>
    <row r="3" spans="1:8" ht="31.5" customHeight="1" x14ac:dyDescent="0.25">
      <c r="A3" s="21" t="s">
        <v>4</v>
      </c>
      <c r="B3" s="75"/>
      <c r="C3" s="52"/>
      <c r="D3" s="53"/>
      <c r="E3" s="22" t="s">
        <v>5</v>
      </c>
      <c r="F3" s="75"/>
      <c r="G3" s="52"/>
      <c r="H3" s="76"/>
    </row>
    <row r="4" spans="1:8" ht="31.5" customHeight="1" x14ac:dyDescent="0.25">
      <c r="A4" s="21" t="s">
        <v>6</v>
      </c>
      <c r="B4" s="75" t="s">
        <v>49</v>
      </c>
      <c r="C4" s="52"/>
      <c r="D4" s="53"/>
      <c r="E4" s="22" t="s">
        <v>8</v>
      </c>
      <c r="F4" s="75"/>
      <c r="G4" s="52"/>
      <c r="H4" s="76"/>
    </row>
    <row r="5" spans="1:8" ht="31.5" customHeight="1" x14ac:dyDescent="0.25">
      <c r="A5" s="23" t="s">
        <v>9</v>
      </c>
      <c r="B5" s="77" t="s">
        <v>10</v>
      </c>
      <c r="C5" s="63"/>
      <c r="D5" s="82"/>
      <c r="E5" s="24" t="s">
        <v>11</v>
      </c>
      <c r="F5" s="77"/>
      <c r="G5" s="63"/>
      <c r="H5" s="64"/>
    </row>
    <row r="6" spans="1:8" ht="31.5" customHeight="1" x14ac:dyDescent="0.25">
      <c r="A6" s="25" t="s">
        <v>12</v>
      </c>
      <c r="B6" s="71" t="s">
        <v>13</v>
      </c>
      <c r="C6" s="58"/>
      <c r="D6" s="58"/>
      <c r="E6" s="59"/>
      <c r="F6" s="26" t="s">
        <v>14</v>
      </c>
      <c r="G6" s="26" t="s">
        <v>15</v>
      </c>
      <c r="H6" s="27" t="s">
        <v>16</v>
      </c>
    </row>
    <row r="7" spans="1:8" ht="60.75" customHeight="1" x14ac:dyDescent="0.25">
      <c r="A7" s="40" t="s">
        <v>54</v>
      </c>
      <c r="B7" s="72" t="s">
        <v>56</v>
      </c>
      <c r="C7" s="52"/>
      <c r="D7" s="52"/>
      <c r="E7" s="53"/>
      <c r="F7" s="28">
        <v>1</v>
      </c>
      <c r="G7" s="29">
        <v>40000</v>
      </c>
      <c r="H7" s="30">
        <f t="shared" ref="H7" si="0">F7*G7</f>
        <v>40000</v>
      </c>
    </row>
    <row r="8" spans="1:8" ht="60.75" customHeight="1" x14ac:dyDescent="0.25">
      <c r="A8" s="42" t="s">
        <v>51</v>
      </c>
      <c r="B8" s="72" t="s">
        <v>57</v>
      </c>
      <c r="C8" s="52"/>
      <c r="D8" s="52"/>
      <c r="E8" s="53"/>
      <c r="F8" s="28">
        <v>1</v>
      </c>
      <c r="G8" s="29">
        <v>30000</v>
      </c>
      <c r="H8" s="30">
        <f>G8*F8</f>
        <v>30000</v>
      </c>
    </row>
    <row r="9" spans="1:8" ht="60.75" customHeight="1" x14ac:dyDescent="0.25">
      <c r="A9" s="41" t="s">
        <v>52</v>
      </c>
      <c r="B9" s="72" t="s">
        <v>55</v>
      </c>
      <c r="C9" s="52"/>
      <c r="D9" s="52"/>
      <c r="E9" s="53"/>
      <c r="F9" s="28">
        <v>1</v>
      </c>
      <c r="G9" s="29">
        <v>50000</v>
      </c>
      <c r="H9" s="30">
        <f>G9*F9</f>
        <v>50000</v>
      </c>
    </row>
    <row r="10" spans="1:8" ht="31.5" customHeight="1" x14ac:dyDescent="0.25">
      <c r="A10" s="73" t="s">
        <v>21</v>
      </c>
      <c r="B10" s="52"/>
      <c r="C10" s="52"/>
      <c r="D10" s="52"/>
      <c r="E10" s="52"/>
      <c r="F10" s="52"/>
      <c r="G10" s="53"/>
      <c r="H10" s="30">
        <f>H7+H8+H9</f>
        <v>120000</v>
      </c>
    </row>
    <row r="11" spans="1:8" ht="31.5" customHeight="1" x14ac:dyDescent="0.25">
      <c r="A11" s="73" t="s">
        <v>22</v>
      </c>
      <c r="B11" s="52"/>
      <c r="C11" s="52"/>
      <c r="D11" s="52"/>
      <c r="E11" s="52"/>
      <c r="F11" s="52"/>
      <c r="G11" s="53"/>
      <c r="H11" s="30">
        <f>H10*0.05</f>
        <v>6000</v>
      </c>
    </row>
    <row r="12" spans="1:8" ht="31.5" customHeight="1" x14ac:dyDescent="0.25">
      <c r="A12" s="74" t="s">
        <v>23</v>
      </c>
      <c r="B12" s="55"/>
      <c r="C12" s="55"/>
      <c r="D12" s="55"/>
      <c r="E12" s="55"/>
      <c r="F12" s="55"/>
      <c r="G12" s="56"/>
      <c r="H12" s="31">
        <f>H10+H11</f>
        <v>126000</v>
      </c>
    </row>
    <row r="13" spans="1:8" ht="17.25" customHeight="1" x14ac:dyDescent="0.25">
      <c r="A13" s="46" t="s">
        <v>24</v>
      </c>
      <c r="B13" s="44"/>
      <c r="C13" s="44"/>
      <c r="D13" s="44"/>
      <c r="E13" s="44"/>
      <c r="F13" s="44"/>
      <c r="G13" s="44"/>
      <c r="H13" s="47"/>
    </row>
    <row r="14" spans="1:8" ht="21" customHeight="1" x14ac:dyDescent="0.25">
      <c r="A14" s="48" t="s">
        <v>25</v>
      </c>
      <c r="B14" s="49"/>
      <c r="C14" s="49"/>
      <c r="D14" s="49"/>
      <c r="E14" s="49"/>
      <c r="F14" s="49"/>
      <c r="G14" s="49"/>
      <c r="H14" s="50"/>
    </row>
    <row r="15" spans="1:8" ht="21" customHeight="1" x14ac:dyDescent="0.2">
      <c r="A15" s="32" t="s">
        <v>26</v>
      </c>
      <c r="B15" s="33"/>
      <c r="C15" s="33"/>
      <c r="D15" s="33"/>
      <c r="E15" s="33"/>
      <c r="F15" s="33"/>
      <c r="G15" s="33"/>
      <c r="H15" s="34"/>
    </row>
    <row r="16" spans="1:8" ht="21" customHeight="1" x14ac:dyDescent="0.2">
      <c r="A16" s="32" t="s">
        <v>27</v>
      </c>
      <c r="B16" s="33"/>
      <c r="C16" s="33"/>
      <c r="D16" s="33"/>
      <c r="E16" s="33"/>
      <c r="F16" s="33"/>
      <c r="G16" s="33"/>
      <c r="H16" s="34"/>
    </row>
    <row r="17" spans="1:8" ht="21" customHeight="1" x14ac:dyDescent="0.2">
      <c r="A17" s="32" t="s">
        <v>28</v>
      </c>
      <c r="B17" s="33"/>
      <c r="C17" s="33"/>
      <c r="D17" s="33"/>
      <c r="E17" s="33"/>
      <c r="F17" s="33"/>
      <c r="G17" s="33"/>
      <c r="H17" s="34"/>
    </row>
    <row r="18" spans="1:8" ht="21" customHeight="1" x14ac:dyDescent="0.2">
      <c r="A18" s="32" t="s">
        <v>29</v>
      </c>
      <c r="B18" s="33"/>
      <c r="C18" s="33"/>
      <c r="D18" s="33"/>
      <c r="E18" s="33"/>
      <c r="F18" s="33"/>
      <c r="G18" s="33"/>
      <c r="H18" s="34"/>
    </row>
    <row r="19" spans="1:8" ht="21" customHeight="1" x14ac:dyDescent="0.2">
      <c r="A19" s="32" t="s">
        <v>30</v>
      </c>
      <c r="B19" s="33"/>
      <c r="C19" s="33"/>
      <c r="D19" s="33"/>
      <c r="E19" s="33"/>
      <c r="F19" s="33"/>
      <c r="G19" s="33"/>
      <c r="H19" s="34"/>
    </row>
    <row r="20" spans="1:8" ht="21" customHeight="1" x14ac:dyDescent="0.2">
      <c r="A20" s="32" t="s">
        <v>31</v>
      </c>
      <c r="B20" s="33"/>
      <c r="C20" s="33"/>
      <c r="D20" s="33"/>
      <c r="E20" s="33"/>
      <c r="F20" s="33"/>
      <c r="G20" s="33"/>
      <c r="H20" s="34"/>
    </row>
    <row r="21" spans="1:8" ht="21" customHeight="1" x14ac:dyDescent="0.2">
      <c r="A21" s="32" t="s">
        <v>32</v>
      </c>
      <c r="B21" s="33"/>
      <c r="C21" s="33"/>
      <c r="D21" s="33"/>
      <c r="E21" s="33"/>
      <c r="F21" s="33"/>
      <c r="G21" s="33"/>
      <c r="H21" s="34"/>
    </row>
    <row r="22" spans="1:8" ht="21" customHeight="1" x14ac:dyDescent="0.2">
      <c r="A22" s="32" t="s">
        <v>33</v>
      </c>
      <c r="B22" s="33"/>
      <c r="C22" s="33"/>
      <c r="D22" s="33"/>
      <c r="E22" s="33"/>
      <c r="F22" s="33"/>
      <c r="G22" s="33"/>
      <c r="H22" s="34"/>
    </row>
    <row r="23" spans="1:8" ht="25.5" customHeight="1" x14ac:dyDescent="0.2">
      <c r="A23" s="35" t="s">
        <v>34</v>
      </c>
      <c r="B23" s="36"/>
      <c r="C23" s="36"/>
      <c r="D23" s="36"/>
      <c r="E23" s="36"/>
      <c r="F23" s="36"/>
      <c r="G23" s="36"/>
      <c r="H23" s="37"/>
    </row>
    <row r="24" spans="1:8" ht="32.25" customHeight="1" x14ac:dyDescent="0.25">
      <c r="A24" s="57" t="s">
        <v>35</v>
      </c>
      <c r="B24" s="58"/>
      <c r="C24" s="58"/>
      <c r="D24" s="59"/>
      <c r="E24" s="60" t="s">
        <v>36</v>
      </c>
      <c r="F24" s="58"/>
      <c r="G24" s="58"/>
      <c r="H24" s="61"/>
    </row>
    <row r="25" spans="1:8" ht="24" customHeight="1" x14ac:dyDescent="0.25">
      <c r="A25" s="38" t="s">
        <v>37</v>
      </c>
      <c r="B25" s="51" t="s">
        <v>38</v>
      </c>
      <c r="C25" s="52"/>
      <c r="D25" s="53"/>
      <c r="E25" s="62" t="s">
        <v>39</v>
      </c>
      <c r="F25" s="63"/>
      <c r="G25" s="63"/>
      <c r="H25" s="64"/>
    </row>
    <row r="26" spans="1:8" ht="24" customHeight="1" x14ac:dyDescent="0.25">
      <c r="A26" s="38" t="s">
        <v>40</v>
      </c>
      <c r="B26" s="51" t="s">
        <v>41</v>
      </c>
      <c r="C26" s="52"/>
      <c r="D26" s="53"/>
      <c r="E26" s="65"/>
      <c r="F26" s="66"/>
      <c r="G26" s="66"/>
      <c r="H26" s="67"/>
    </row>
    <row r="27" spans="1:8" ht="24" customHeight="1" x14ac:dyDescent="0.25">
      <c r="A27" s="38" t="s">
        <v>42</v>
      </c>
      <c r="B27" s="51">
        <v>60634849</v>
      </c>
      <c r="C27" s="52"/>
      <c r="D27" s="53"/>
      <c r="E27" s="65"/>
      <c r="F27" s="66"/>
      <c r="G27" s="66"/>
      <c r="H27" s="67"/>
    </row>
    <row r="28" spans="1:8" ht="24" customHeight="1" x14ac:dyDescent="0.25">
      <c r="A28" s="38" t="s">
        <v>43</v>
      </c>
      <c r="B28" s="51" t="s">
        <v>44</v>
      </c>
      <c r="C28" s="52"/>
      <c r="D28" s="53"/>
      <c r="E28" s="65"/>
      <c r="F28" s="66"/>
      <c r="G28" s="66"/>
      <c r="H28" s="67"/>
    </row>
    <row r="29" spans="1:8" ht="50.25" customHeight="1" x14ac:dyDescent="0.25">
      <c r="A29" s="39" t="s">
        <v>45</v>
      </c>
      <c r="B29" s="54" t="s">
        <v>48</v>
      </c>
      <c r="C29" s="55"/>
      <c r="D29" s="56"/>
      <c r="E29" s="68"/>
      <c r="F29" s="69"/>
      <c r="G29" s="69"/>
      <c r="H29" s="70"/>
    </row>
    <row r="30" spans="1:8" ht="24" customHeight="1" x14ac:dyDescent="0.25">
      <c r="A30" s="43" t="s">
        <v>53</v>
      </c>
      <c r="B30" s="44"/>
      <c r="C30" s="44"/>
      <c r="D30" s="44"/>
      <c r="E30" s="44"/>
      <c r="F30" s="44"/>
      <c r="G30" s="44"/>
      <c r="H30" s="45"/>
    </row>
  </sheetData>
  <mergeCells count="27"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B6:E6"/>
    <mergeCell ref="B7:E7"/>
    <mergeCell ref="A10:G10"/>
    <mergeCell ref="A11:G11"/>
    <mergeCell ref="A12:G12"/>
    <mergeCell ref="B8:E8"/>
    <mergeCell ref="B9:E9"/>
    <mergeCell ref="A30:H30"/>
    <mergeCell ref="A13:H13"/>
    <mergeCell ref="A14:H14"/>
    <mergeCell ref="B28:D28"/>
    <mergeCell ref="B29:D29"/>
    <mergeCell ref="A24:D24"/>
    <mergeCell ref="E24:H24"/>
    <mergeCell ref="B25:D25"/>
    <mergeCell ref="E25:H29"/>
    <mergeCell ref="B26:D26"/>
    <mergeCell ref="B27:D27"/>
  </mergeCells>
  <phoneticPr fontId="9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  <pageSetUpPr fitToPage="1"/>
  </sheetPr>
  <dimension ref="A1:H29"/>
  <sheetViews>
    <sheetView workbookViewId="0"/>
  </sheetViews>
  <sheetFormatPr defaultColWidth="12.5703125" defaultRowHeight="15.75" customHeight="1" x14ac:dyDescent="0.2"/>
  <cols>
    <col min="1" max="1" width="16.28515625" customWidth="1"/>
    <col min="4" max="4" width="14.28515625" customWidth="1"/>
    <col min="5" max="5" width="19.42578125" customWidth="1"/>
    <col min="6" max="7" width="14.42578125" customWidth="1"/>
    <col min="8" max="8" width="14" customWidth="1"/>
  </cols>
  <sheetData>
    <row r="1" spans="1:8" ht="40.5" customHeight="1" x14ac:dyDescent="0.2">
      <c r="A1" s="119" t="s">
        <v>0</v>
      </c>
      <c r="B1" s="120"/>
      <c r="C1" s="120"/>
      <c r="D1" s="120"/>
      <c r="E1" s="120"/>
      <c r="F1" s="120"/>
      <c r="G1" s="120"/>
      <c r="H1" s="121"/>
    </row>
    <row r="2" spans="1:8" ht="31.5" customHeight="1" x14ac:dyDescent="0.2">
      <c r="A2" s="1" t="s">
        <v>1</v>
      </c>
      <c r="B2" s="116" t="s">
        <v>2</v>
      </c>
      <c r="C2" s="92"/>
      <c r="D2" s="93"/>
      <c r="E2" s="2" t="s">
        <v>3</v>
      </c>
      <c r="F2" s="122">
        <v>61842270</v>
      </c>
      <c r="G2" s="92"/>
      <c r="H2" s="117"/>
    </row>
    <row r="3" spans="1:8" ht="31.5" customHeight="1" x14ac:dyDescent="0.2">
      <c r="A3" s="1" t="s">
        <v>4</v>
      </c>
      <c r="B3" s="116"/>
      <c r="C3" s="92"/>
      <c r="D3" s="93"/>
      <c r="E3" s="2" t="s">
        <v>5</v>
      </c>
      <c r="F3" s="116"/>
      <c r="G3" s="92"/>
      <c r="H3" s="117"/>
    </row>
    <row r="4" spans="1:8" ht="31.5" customHeight="1" x14ac:dyDescent="0.2">
      <c r="A4" s="1" t="s">
        <v>6</v>
      </c>
      <c r="B4" s="116" t="s">
        <v>7</v>
      </c>
      <c r="C4" s="92"/>
      <c r="D4" s="93"/>
      <c r="E4" s="2" t="s">
        <v>8</v>
      </c>
      <c r="F4" s="116"/>
      <c r="G4" s="92"/>
      <c r="H4" s="117"/>
    </row>
    <row r="5" spans="1:8" ht="31.5" customHeight="1" x14ac:dyDescent="0.2">
      <c r="A5" s="3" t="s">
        <v>9</v>
      </c>
      <c r="B5" s="118" t="s">
        <v>10</v>
      </c>
      <c r="C5" s="103"/>
      <c r="D5" s="123"/>
      <c r="E5" s="4" t="s">
        <v>11</v>
      </c>
      <c r="F5" s="118"/>
      <c r="G5" s="103"/>
      <c r="H5" s="104"/>
    </row>
    <row r="6" spans="1:8" ht="31.5" customHeight="1" x14ac:dyDescent="0.2">
      <c r="A6" s="5" t="s">
        <v>12</v>
      </c>
      <c r="B6" s="111" t="s">
        <v>13</v>
      </c>
      <c r="C6" s="98"/>
      <c r="D6" s="98"/>
      <c r="E6" s="99"/>
      <c r="F6" s="6" t="s">
        <v>14</v>
      </c>
      <c r="G6" s="6" t="s">
        <v>15</v>
      </c>
      <c r="H6" s="7" t="s">
        <v>16</v>
      </c>
    </row>
    <row r="7" spans="1:8" ht="102.75" customHeight="1" x14ac:dyDescent="0.2">
      <c r="A7" s="8" t="s">
        <v>17</v>
      </c>
      <c r="B7" s="112" t="s">
        <v>18</v>
      </c>
      <c r="C7" s="92"/>
      <c r="D7" s="92"/>
      <c r="E7" s="93"/>
      <c r="F7" s="9">
        <v>1</v>
      </c>
      <c r="G7" s="10">
        <v>100000</v>
      </c>
      <c r="H7" s="11">
        <f t="shared" ref="H7:H8" si="0">F7*G7</f>
        <v>100000</v>
      </c>
    </row>
    <row r="8" spans="1:8" ht="31.5" customHeight="1" x14ac:dyDescent="0.2">
      <c r="A8" s="8" t="s">
        <v>19</v>
      </c>
      <c r="B8" s="115" t="s">
        <v>20</v>
      </c>
      <c r="C8" s="92"/>
      <c r="D8" s="92"/>
      <c r="E8" s="93"/>
      <c r="F8" s="9">
        <v>1</v>
      </c>
      <c r="G8" s="10">
        <f>G7*0.1</f>
        <v>10000</v>
      </c>
      <c r="H8" s="11">
        <f t="shared" si="0"/>
        <v>10000</v>
      </c>
    </row>
    <row r="9" spans="1:8" ht="31.5" customHeight="1" x14ac:dyDescent="0.2">
      <c r="A9" s="113" t="s">
        <v>21</v>
      </c>
      <c r="B9" s="92"/>
      <c r="C9" s="92"/>
      <c r="D9" s="92"/>
      <c r="E9" s="92"/>
      <c r="F9" s="92"/>
      <c r="G9" s="93"/>
      <c r="H9" s="11">
        <f>H7+H8</f>
        <v>110000</v>
      </c>
    </row>
    <row r="10" spans="1:8" ht="31.5" customHeight="1" x14ac:dyDescent="0.2">
      <c r="A10" s="113" t="s">
        <v>22</v>
      </c>
      <c r="B10" s="92"/>
      <c r="C10" s="92"/>
      <c r="D10" s="92"/>
      <c r="E10" s="92"/>
      <c r="F10" s="92"/>
      <c r="G10" s="93"/>
      <c r="H10" s="11">
        <f>H9*0.05</f>
        <v>5500</v>
      </c>
    </row>
    <row r="11" spans="1:8" ht="31.5" customHeight="1" x14ac:dyDescent="0.2">
      <c r="A11" s="114" t="s">
        <v>23</v>
      </c>
      <c r="B11" s="95"/>
      <c r="C11" s="95"/>
      <c r="D11" s="95"/>
      <c r="E11" s="95"/>
      <c r="F11" s="95"/>
      <c r="G11" s="96"/>
      <c r="H11" s="12">
        <f>H9+H10</f>
        <v>115500</v>
      </c>
    </row>
    <row r="12" spans="1:8" ht="17.25" customHeight="1" x14ac:dyDescent="0.2">
      <c r="A12" s="86" t="s">
        <v>24</v>
      </c>
      <c r="B12" s="84"/>
      <c r="C12" s="84"/>
      <c r="D12" s="84"/>
      <c r="E12" s="84"/>
      <c r="F12" s="84"/>
      <c r="G12" s="84"/>
      <c r="H12" s="87"/>
    </row>
    <row r="13" spans="1:8" ht="21" customHeight="1" x14ac:dyDescent="0.2">
      <c r="A13" s="88" t="s">
        <v>25</v>
      </c>
      <c r="B13" s="89"/>
      <c r="C13" s="89"/>
      <c r="D13" s="89"/>
      <c r="E13" s="89"/>
      <c r="F13" s="89"/>
      <c r="G13" s="89"/>
      <c r="H13" s="90"/>
    </row>
    <row r="14" spans="1:8" ht="21" customHeight="1" x14ac:dyDescent="0.2">
      <c r="A14" s="13" t="s">
        <v>26</v>
      </c>
      <c r="B14" s="14"/>
      <c r="C14" s="14"/>
      <c r="D14" s="14"/>
      <c r="E14" s="14"/>
      <c r="F14" s="14"/>
      <c r="G14" s="14"/>
      <c r="H14" s="15"/>
    </row>
    <row r="15" spans="1:8" ht="21" customHeight="1" x14ac:dyDescent="0.2">
      <c r="A15" s="13" t="s">
        <v>27</v>
      </c>
      <c r="B15" s="14"/>
      <c r="C15" s="14"/>
      <c r="D15" s="14"/>
      <c r="E15" s="14"/>
      <c r="F15" s="14"/>
      <c r="G15" s="14"/>
      <c r="H15" s="15"/>
    </row>
    <row r="16" spans="1:8" ht="21" customHeight="1" x14ac:dyDescent="0.2">
      <c r="A16" s="13" t="s">
        <v>28</v>
      </c>
      <c r="B16" s="14"/>
      <c r="C16" s="14"/>
      <c r="D16" s="14"/>
      <c r="E16" s="14"/>
      <c r="F16" s="14"/>
      <c r="G16" s="14"/>
      <c r="H16" s="15"/>
    </row>
    <row r="17" spans="1:8" ht="21" customHeight="1" x14ac:dyDescent="0.2">
      <c r="A17" s="13" t="s">
        <v>29</v>
      </c>
      <c r="B17" s="14"/>
      <c r="C17" s="14"/>
      <c r="D17" s="14"/>
      <c r="E17" s="14"/>
      <c r="F17" s="14"/>
      <c r="G17" s="14"/>
      <c r="H17" s="15"/>
    </row>
    <row r="18" spans="1:8" ht="21" customHeight="1" x14ac:dyDescent="0.2">
      <c r="A18" s="13" t="s">
        <v>30</v>
      </c>
      <c r="B18" s="14"/>
      <c r="C18" s="14"/>
      <c r="D18" s="14"/>
      <c r="E18" s="14"/>
      <c r="F18" s="14"/>
      <c r="G18" s="14"/>
      <c r="H18" s="15"/>
    </row>
    <row r="19" spans="1:8" ht="21" customHeight="1" x14ac:dyDescent="0.2">
      <c r="A19" s="13" t="s">
        <v>31</v>
      </c>
      <c r="B19" s="14"/>
      <c r="C19" s="14"/>
      <c r="D19" s="14"/>
      <c r="E19" s="14"/>
      <c r="F19" s="14"/>
      <c r="G19" s="14"/>
      <c r="H19" s="15"/>
    </row>
    <row r="20" spans="1:8" ht="21" customHeight="1" x14ac:dyDescent="0.2">
      <c r="A20" s="13" t="s">
        <v>32</v>
      </c>
      <c r="B20" s="14"/>
      <c r="C20" s="14"/>
      <c r="D20" s="14"/>
      <c r="E20" s="14"/>
      <c r="F20" s="14"/>
      <c r="G20" s="14"/>
      <c r="H20" s="15"/>
    </row>
    <row r="21" spans="1:8" ht="21" customHeight="1" x14ac:dyDescent="0.2">
      <c r="A21" s="13" t="s">
        <v>33</v>
      </c>
      <c r="B21" s="14"/>
      <c r="C21" s="14"/>
      <c r="D21" s="14"/>
      <c r="E21" s="14"/>
      <c r="F21" s="14"/>
      <c r="G21" s="14"/>
      <c r="H21" s="15"/>
    </row>
    <row r="22" spans="1:8" ht="25.5" customHeight="1" x14ac:dyDescent="0.2">
      <c r="A22" s="16" t="s">
        <v>34</v>
      </c>
      <c r="B22" s="17"/>
      <c r="C22" s="17"/>
      <c r="D22" s="17"/>
      <c r="E22" s="17"/>
      <c r="F22" s="17"/>
      <c r="G22" s="17"/>
      <c r="H22" s="18"/>
    </row>
    <row r="23" spans="1:8" ht="32.25" customHeight="1" x14ac:dyDescent="0.2">
      <c r="A23" s="97" t="s">
        <v>35</v>
      </c>
      <c r="B23" s="98"/>
      <c r="C23" s="98"/>
      <c r="D23" s="99"/>
      <c r="E23" s="100" t="s">
        <v>36</v>
      </c>
      <c r="F23" s="98"/>
      <c r="G23" s="98"/>
      <c r="H23" s="101"/>
    </row>
    <row r="24" spans="1:8" ht="24" customHeight="1" x14ac:dyDescent="0.2">
      <c r="A24" s="19" t="s">
        <v>37</v>
      </c>
      <c r="B24" s="91" t="s">
        <v>38</v>
      </c>
      <c r="C24" s="92"/>
      <c r="D24" s="93"/>
      <c r="E24" s="102" t="s">
        <v>39</v>
      </c>
      <c r="F24" s="103"/>
      <c r="G24" s="103"/>
      <c r="H24" s="104"/>
    </row>
    <row r="25" spans="1:8" ht="24" customHeight="1" x14ac:dyDescent="0.2">
      <c r="A25" s="19" t="s">
        <v>40</v>
      </c>
      <c r="B25" s="91" t="s">
        <v>41</v>
      </c>
      <c r="C25" s="92"/>
      <c r="D25" s="93"/>
      <c r="E25" s="105"/>
      <c r="F25" s="106"/>
      <c r="G25" s="106"/>
      <c r="H25" s="107"/>
    </row>
    <row r="26" spans="1:8" ht="24" customHeight="1" x14ac:dyDescent="0.2">
      <c r="A26" s="19" t="s">
        <v>42</v>
      </c>
      <c r="B26" s="91">
        <v>60634849</v>
      </c>
      <c r="C26" s="92"/>
      <c r="D26" s="93"/>
      <c r="E26" s="105"/>
      <c r="F26" s="106"/>
      <c r="G26" s="106"/>
      <c r="H26" s="107"/>
    </row>
    <row r="27" spans="1:8" ht="24" customHeight="1" x14ac:dyDescent="0.2">
      <c r="A27" s="19" t="s">
        <v>43</v>
      </c>
      <c r="B27" s="91" t="s">
        <v>44</v>
      </c>
      <c r="C27" s="92"/>
      <c r="D27" s="93"/>
      <c r="E27" s="105"/>
      <c r="F27" s="106"/>
      <c r="G27" s="106"/>
      <c r="H27" s="107"/>
    </row>
    <row r="28" spans="1:8" ht="50.25" customHeight="1" x14ac:dyDescent="0.2">
      <c r="A28" s="20" t="s">
        <v>45</v>
      </c>
      <c r="B28" s="94" t="s">
        <v>46</v>
      </c>
      <c r="C28" s="95"/>
      <c r="D28" s="96"/>
      <c r="E28" s="108"/>
      <c r="F28" s="109"/>
      <c r="G28" s="109"/>
      <c r="H28" s="110"/>
    </row>
    <row r="29" spans="1:8" ht="24" customHeight="1" x14ac:dyDescent="0.2">
      <c r="A29" s="83" t="s">
        <v>47</v>
      </c>
      <c r="B29" s="84"/>
      <c r="C29" s="84"/>
      <c r="D29" s="84"/>
      <c r="E29" s="84"/>
      <c r="F29" s="84"/>
      <c r="G29" s="84"/>
      <c r="H29" s="85"/>
    </row>
  </sheetData>
  <mergeCells count="26"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B6:E6"/>
    <mergeCell ref="B7:E7"/>
    <mergeCell ref="A9:G9"/>
    <mergeCell ref="A10:G10"/>
    <mergeCell ref="A11:G11"/>
    <mergeCell ref="B8:E8"/>
    <mergeCell ref="A29:H29"/>
    <mergeCell ref="A12:H12"/>
    <mergeCell ref="A13:H13"/>
    <mergeCell ref="B27:D27"/>
    <mergeCell ref="B28:D28"/>
    <mergeCell ref="A23:D23"/>
    <mergeCell ref="E23:H23"/>
    <mergeCell ref="B24:D24"/>
    <mergeCell ref="E24:H28"/>
    <mergeCell ref="B25:D25"/>
    <mergeCell ref="B26:D26"/>
  </mergeCells>
  <phoneticPr fontId="9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李老闆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SVR-18</dc:creator>
  <cp:lastModifiedBy>shared4 lifong</cp:lastModifiedBy>
  <dcterms:created xsi:type="dcterms:W3CDTF">2026-01-05T03:37:00Z</dcterms:created>
  <dcterms:modified xsi:type="dcterms:W3CDTF">2026-05-12T06:14:21Z</dcterms:modified>
</cp:coreProperties>
</file>